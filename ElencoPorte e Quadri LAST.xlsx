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cardocoates/Dropbox/STM S-H/STM - Lavori/CLIENTI/SUPERNAP (STACK EMEA)/PROGETTO CORPORATE/ACCESSI/"/>
    </mc:Choice>
  </mc:AlternateContent>
  <xr:revisionPtr revIDLastSave="0" documentId="13_ncr:1_{31C22E89-AC24-CF45-92FE-E0D00DE34502}" xr6:coauthVersionLast="47" xr6:coauthVersionMax="47" xr10:uidLastSave="{00000000-0000-0000-0000-000000000000}"/>
  <bookViews>
    <workbookView xWindow="6860" yWindow="1080" windowWidth="40260" windowHeight="24840" firstSheet="1" activeTab="1" xr2:uid="{CE40B2FE-2A58-EB45-AA73-35260F939C70}"/>
  </bookViews>
  <sheets>
    <sheet name="Elenco ACP&amp;BM" sheetId="1" r:id="rId1"/>
    <sheet name="MIL02,MIL03 Vecchio" sheetId="4" r:id="rId2"/>
    <sheet name="L1A,B,C Vecchio" sheetId="14" r:id="rId3"/>
    <sheet name="L03 Nuovo" sheetId="16" r:id="rId4"/>
    <sheet name="L1C nuovo" sheetId="15" r:id="rId5"/>
    <sheet name="L1A nuovo" sheetId="12" r:id="rId6"/>
    <sheet name="L1B nuovo" sheetId="13" r:id="rId7"/>
  </sheets>
  <definedNames>
    <definedName name="_xlnm._FilterDatabase" localSheetId="3" hidden="1">'L03 Nuovo'!$A$1:$S$80</definedName>
    <definedName name="_xlnm._FilterDatabase" localSheetId="5" hidden="1">'L1A nuovo'!$A$1:$S$195</definedName>
    <definedName name="_xlnm._FilterDatabase" localSheetId="6" hidden="1">'L1B nuovo'!$A$1:$S$177</definedName>
    <definedName name="_xlnm._FilterDatabase" localSheetId="4" hidden="1">'L1C nuovo'!$A$1:$S$49</definedName>
    <definedName name="_xlnm.Print_Area" localSheetId="0">'Elenco ACP&amp;BM'!$A$135:$L$145</definedName>
    <definedName name="_xlnm.Print_Area" localSheetId="1">'L1A,B,C Vecchio'!$C$516:$S$544</definedName>
    <definedName name="stackL01">'Elenco ACP&amp;BM'!$A$113</definedName>
    <definedName name="stackL01A">'Elenco ACP&amp;BM'!$A$113</definedName>
    <definedName name="stackL01B">'Elenco ACP&amp;BM'!$A$186</definedName>
    <definedName name="stackL01CAge">'Elenco ACP&amp;BM'!$A$90</definedName>
    <definedName name="stackL02">'Elenco ACP&amp;BM'!$A$45</definedName>
    <definedName name="stackL03">'Elenco ACP&amp;BM'!$A$3</definedName>
    <definedName name="StackMil01C">'L1A,B,C Vecchio'!$C$1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2" i="13" l="1"/>
  <c r="M181" i="13"/>
  <c r="M199" i="12"/>
  <c r="M198" i="12"/>
  <c r="J273" i="4"/>
  <c r="J205" i="4"/>
  <c r="J206" i="4" s="1"/>
  <c r="J103" i="4"/>
  <c r="J102" i="4"/>
  <c r="O19" i="13"/>
  <c r="O20" i="13" s="1"/>
  <c r="O21" i="13" s="1"/>
  <c r="O3" i="13"/>
  <c r="O4" i="13" s="1"/>
  <c r="O5" i="13" s="1"/>
  <c r="O11" i="13"/>
  <c r="O12" i="13" s="1"/>
  <c r="O13" i="13" s="1"/>
  <c r="O7" i="13"/>
  <c r="O8" i="13" s="1"/>
  <c r="O9" i="13" s="1"/>
  <c r="M200" i="12" l="1"/>
  <c r="O7" i="12"/>
  <c r="O8" i="12" s="1"/>
  <c r="O9" i="12" s="1"/>
  <c r="O11" i="12"/>
  <c r="O12" i="12" s="1"/>
  <c r="O13" i="12" s="1"/>
  <c r="O15" i="12"/>
  <c r="O16" i="12" s="1"/>
  <c r="O17" i="12" s="1"/>
  <c r="O19" i="12"/>
  <c r="O20" i="12" s="1"/>
  <c r="O21" i="12" s="1"/>
  <c r="O23" i="12"/>
  <c r="O24" i="12" s="1"/>
  <c r="O26" i="12"/>
  <c r="O27" i="12" s="1"/>
  <c r="O28" i="12" s="1"/>
  <c r="O30" i="12"/>
  <c r="O31" i="12" s="1"/>
  <c r="O32" i="12" s="1"/>
  <c r="O34" i="12"/>
  <c r="O35" i="12" s="1"/>
  <c r="O36" i="12" s="1"/>
  <c r="O38" i="12"/>
  <c r="O39" i="12" s="1"/>
  <c r="O40" i="12" s="1"/>
  <c r="O42" i="12"/>
  <c r="O44" i="12"/>
  <c r="O45" i="12" s="1"/>
  <c r="O46" i="12" s="1"/>
  <c r="O48" i="12"/>
  <c r="O49" i="12" s="1"/>
  <c r="O50" i="12" s="1"/>
  <c r="O52" i="12"/>
  <c r="O53" i="12" s="1"/>
  <c r="O54" i="12" s="1"/>
  <c r="O56" i="12"/>
  <c r="O57" i="12" s="1"/>
  <c r="O58" i="12" s="1"/>
  <c r="O60" i="12"/>
  <c r="O62" i="12"/>
  <c r="O63" i="12" s="1"/>
  <c r="O64" i="12" s="1"/>
  <c r="O66" i="12"/>
  <c r="O67" i="12" s="1"/>
  <c r="O68" i="12" s="1"/>
  <c r="O70" i="12"/>
  <c r="O71" i="12" s="1"/>
  <c r="O72" i="12" s="1"/>
  <c r="O74" i="12"/>
  <c r="O75" i="12" s="1"/>
  <c r="O76" i="12" s="1"/>
  <c r="O78" i="12"/>
  <c r="O79" i="12" s="1"/>
  <c r="O82" i="12"/>
  <c r="O83" i="12" s="1"/>
  <c r="O84" i="12" s="1"/>
  <c r="O86" i="12"/>
  <c r="O87" i="12" s="1"/>
  <c r="O88" i="12" s="1"/>
  <c r="O90" i="12"/>
  <c r="O91" i="12" s="1"/>
  <c r="O92" i="12" s="1"/>
  <c r="O95" i="12"/>
  <c r="O96" i="12" s="1"/>
  <c r="O97" i="12" s="1"/>
  <c r="O100" i="12"/>
  <c r="O101" i="12" s="1"/>
  <c r="O102" i="12" s="1"/>
  <c r="O106" i="12"/>
  <c r="O108" i="12"/>
  <c r="O109" i="12" s="1"/>
  <c r="O110" i="12" s="1"/>
  <c r="O112" i="12"/>
  <c r="O113" i="12" s="1"/>
  <c r="O114" i="12" s="1"/>
  <c r="O116" i="12"/>
  <c r="O117" i="12" s="1"/>
  <c r="O118" i="12" s="1"/>
  <c r="O120" i="12"/>
  <c r="O121" i="12" s="1"/>
  <c r="O122" i="12" s="1"/>
  <c r="O124" i="12"/>
  <c r="O125" i="12" s="1"/>
  <c r="O127" i="12"/>
  <c r="O129" i="12"/>
  <c r="O130" i="12" s="1"/>
  <c r="O131" i="12" s="1"/>
  <c r="O133" i="12"/>
  <c r="O134" i="12" s="1"/>
  <c r="O136" i="12"/>
  <c r="O138" i="12"/>
  <c r="O139" i="12" s="1"/>
  <c r="O140" i="12" s="1"/>
  <c r="O141" i="12" s="1"/>
  <c r="O143" i="12"/>
  <c r="O144" i="12" s="1"/>
  <c r="O145" i="12" s="1"/>
  <c r="O147" i="12"/>
  <c r="O148" i="12" s="1"/>
  <c r="O149" i="12" s="1"/>
  <c r="O151" i="12"/>
  <c r="O153" i="12"/>
  <c r="O154" i="12" s="1"/>
  <c r="O155" i="12" s="1"/>
  <c r="O157" i="12"/>
  <c r="O158" i="12" s="1"/>
  <c r="O159" i="12" s="1"/>
  <c r="O161" i="12"/>
  <c r="O162" i="12" s="1"/>
  <c r="O163" i="12" s="1"/>
  <c r="O165" i="12"/>
  <c r="O166" i="12" s="1"/>
  <c r="O167" i="12" s="1"/>
  <c r="O169" i="12"/>
  <c r="O170" i="12" s="1"/>
  <c r="O171" i="12" s="1"/>
  <c r="O173" i="12"/>
  <c r="O174" i="12" s="1"/>
  <c r="O175" i="12" s="1"/>
  <c r="O177" i="12"/>
  <c r="O178" i="12" s="1"/>
  <c r="O179" i="12" s="1"/>
  <c r="O181" i="12"/>
  <c r="O182" i="12" s="1"/>
  <c r="O183" i="12" s="1"/>
  <c r="O185" i="12"/>
  <c r="O186" i="12" s="1"/>
  <c r="O187" i="12" s="1"/>
  <c r="O189" i="12"/>
  <c r="O190" i="12" s="1"/>
  <c r="O191" i="12" s="1"/>
  <c r="O193" i="12"/>
  <c r="O194" i="12" s="1"/>
  <c r="O195" i="12" s="1"/>
  <c r="O3" i="12"/>
  <c r="O4" i="12" s="1"/>
  <c r="O5" i="12" s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8" i="1"/>
  <c r="D63" i="1" l="1"/>
  <c r="D61" i="1" l="1"/>
  <c r="D60" i="1"/>
  <c r="D59" i="1"/>
  <c r="D58" i="1"/>
  <c r="D57" i="1"/>
  <c r="D56" i="1"/>
  <c r="D55" i="1"/>
  <c r="D54" i="1"/>
  <c r="D53" i="1"/>
  <c r="D52" i="1"/>
  <c r="D51" i="1"/>
  <c r="D50" i="1"/>
  <c r="D49" i="1"/>
  <c r="D75" i="1"/>
  <c r="D73" i="1"/>
  <c r="D72" i="1"/>
  <c r="D71" i="1"/>
  <c r="D69" i="1"/>
  <c r="D68" i="1"/>
  <c r="D67" i="1"/>
  <c r="D64" i="1"/>
  <c r="D65" i="1"/>
  <c r="D74" i="1"/>
  <c r="D70" i="1"/>
  <c r="D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79" authorId="0" shapeId="0" xr:uid="{B1A2C308-5B60-604F-90DA-D542ECCE7DE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4"/>
            <color rgb="FF000000"/>
            <rFont val="Calibri"/>
            <family val="2"/>
            <scheme val="minor"/>
          </rPr>
          <t>Quando</t>
        </r>
        <r>
          <rPr>
            <sz val="14"/>
            <color rgb="FF000000"/>
            <rFont val="Calibri"/>
            <family val="2"/>
            <scheme val="minor"/>
          </rPr>
          <t xml:space="preserve"> esce il POPUP dell'even to HOD nella finestra compare il mone dell'ACP che lo ha generato. 
</t>
        </r>
        <r>
          <rPr>
            <sz val="14"/>
            <color rgb="FF000000"/>
            <rFont val="Calibri"/>
            <family val="2"/>
            <scheme val="minor"/>
          </rPr>
          <t>Per questo motivo gli ACP interessati hanno nle nome l'infomazione della porta HOD relativa.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Coates</author>
  </authors>
  <commentList>
    <comment ref="G25" authorId="0" shapeId="0" xr:uid="{2572FF15-FBE6-4CA0-9897-BF0147985250}">
      <text>
        <r>
          <rPr>
            <b/>
            <sz val="9"/>
            <color indexed="81"/>
            <rFont val="Tahoma"/>
            <family val="2"/>
          </rPr>
          <t>Riccardo Coates:</t>
        </r>
        <r>
          <rPr>
            <sz val="9"/>
            <color indexed="81"/>
            <rFont val="Tahoma"/>
            <family val="2"/>
          </rPr>
          <t xml:space="preserve">
Q</t>
        </r>
        <r>
          <rPr>
            <sz val="14"/>
            <color indexed="81"/>
            <rFont val="Tahoma"/>
            <family val="2"/>
          </rPr>
          <t>uando si configura un OUTPUT questo non segue andamento dello stato porta ma segiue laq programmazione del tipo di segnale che si è selezionato; nel caso specifico quindi il LED+BUZZER durerà sempre 20 secondi</t>
        </r>
      </text>
    </comment>
  </commentList>
</comments>
</file>

<file path=xl/sharedStrings.xml><?xml version="1.0" encoding="utf-8"?>
<sst xmlns="http://schemas.openxmlformats.org/spreadsheetml/2006/main" count="8871" uniqueCount="2530">
  <si>
    <t>Tipo dispositivo</t>
  </si>
  <si>
    <t>Porta di Riferimento</t>
  </si>
  <si>
    <t>Indirizzo IP</t>
  </si>
  <si>
    <t>SWITCH 
a cui è
connesso (posizione)</t>
  </si>
  <si>
    <t>IP Switch</t>
  </si>
  <si>
    <t>Porta Switch</t>
  </si>
  <si>
    <t>Device ID / Seriale</t>
  </si>
  <si>
    <t>FW Versione</t>
  </si>
  <si>
    <t>user / psw Pagina web (se presente)</t>
  </si>
  <si>
    <t>ACP 1.1</t>
  </si>
  <si>
    <t>10.245.140.11</t>
  </si>
  <si>
    <t>Electric Room - Quadro PMC8 - "ACCESSI"</t>
  </si>
  <si>
    <t>ACP 1.2</t>
  </si>
  <si>
    <t>10.245.140.12</t>
  </si>
  <si>
    <t>ACP 1.3</t>
  </si>
  <si>
    <t>10.245.140.13</t>
  </si>
  <si>
    <t>ACP 1.4</t>
  </si>
  <si>
    <t>10.245.140.14</t>
  </si>
  <si>
    <t>ENROLL STATION</t>
  </si>
  <si>
    <t>ACP 2.1</t>
  </si>
  <si>
    <t>10.245.140.21</t>
  </si>
  <si>
    <t>ACP 2.2</t>
  </si>
  <si>
    <t>10.245.140.22</t>
  </si>
  <si>
    <t>ACP 2.3</t>
  </si>
  <si>
    <t>10.245.140.23</t>
  </si>
  <si>
    <t>ACP 2.4</t>
  </si>
  <si>
    <t>10.245.140.24</t>
  </si>
  <si>
    <t>ACP 2.5</t>
  </si>
  <si>
    <t>10.245.140.25</t>
  </si>
  <si>
    <t>ACP 3.1</t>
  </si>
  <si>
    <t>10.245.140.31</t>
  </si>
  <si>
    <t>ACP 3.2</t>
  </si>
  <si>
    <t>10.245.140.32</t>
  </si>
  <si>
    <t>ACP 3.3</t>
  </si>
  <si>
    <t>10.245.140.33</t>
  </si>
  <si>
    <t>ACP 3.4</t>
  </si>
  <si>
    <t>10.245.140.34</t>
  </si>
  <si>
    <t>ACP 4.1</t>
  </si>
  <si>
    <t>10.245.140.41</t>
  </si>
  <si>
    <t>ACP 4.2</t>
  </si>
  <si>
    <t>10.245.140.42</t>
  </si>
  <si>
    <t>ACP 4.3</t>
  </si>
  <si>
    <t>10.245.140.43</t>
  </si>
  <si>
    <t>ACP 4.4</t>
  </si>
  <si>
    <t>10.245.140.44</t>
  </si>
  <si>
    <t>ACP 4.5</t>
  </si>
  <si>
    <t>10.245.140.45</t>
  </si>
  <si>
    <t>ACP 4.6</t>
  </si>
  <si>
    <t>10.245.140.46</t>
  </si>
  <si>
    <t>BM</t>
  </si>
  <si>
    <t>I.01-02</t>
  </si>
  <si>
    <t>10.245.140.51</t>
  </si>
  <si>
    <t>I.01-04</t>
  </si>
  <si>
    <t>10.245.140.52</t>
  </si>
  <si>
    <t>I.01-05</t>
  </si>
  <si>
    <t>10.245.140.53</t>
  </si>
  <si>
    <t>E.02-01</t>
  </si>
  <si>
    <t>10.245.140.54</t>
  </si>
  <si>
    <t>E.02-02</t>
  </si>
  <si>
    <t>10.245.140.55</t>
  </si>
  <si>
    <t>E.02-03</t>
  </si>
  <si>
    <t>10.245.140.56</t>
  </si>
  <si>
    <t>E.02-04</t>
  </si>
  <si>
    <t>10.245.140.57</t>
  </si>
  <si>
    <t>E.03-03</t>
  </si>
  <si>
    <t>10.245.140.58</t>
  </si>
  <si>
    <t>ACP 2.6</t>
  </si>
  <si>
    <t>ACP 1.5</t>
  </si>
  <si>
    <t>ACP 2.9</t>
  </si>
  <si>
    <t>ACPSE 1</t>
  </si>
  <si>
    <t>ACPNE 1</t>
  </si>
  <si>
    <t>ACP 4.7</t>
  </si>
  <si>
    <t>ACP 5.1</t>
  </si>
  <si>
    <t>ACP 5.3</t>
  </si>
  <si>
    <t>10.245.0.22</t>
  </si>
  <si>
    <t>10.245.0.23</t>
  </si>
  <si>
    <t>10.245.0.24</t>
  </si>
  <si>
    <t>10.245.0.25</t>
  </si>
  <si>
    <t>10.245.0.26</t>
  </si>
  <si>
    <t>10.245.4.100</t>
  </si>
  <si>
    <t>10.245.4.102</t>
  </si>
  <si>
    <t>10.245.4.104</t>
  </si>
  <si>
    <t>10.245.4.105</t>
  </si>
  <si>
    <t>10.245.4.108</t>
  </si>
  <si>
    <t>10.245.4.110</t>
  </si>
  <si>
    <t>10.245.4.112</t>
  </si>
  <si>
    <t>10.245.4.114</t>
  </si>
  <si>
    <t>10.245.4.115</t>
  </si>
  <si>
    <t>10.245.4.117</t>
  </si>
  <si>
    <t>10.245.4.120</t>
  </si>
  <si>
    <t>10.245.4.121</t>
  </si>
  <si>
    <t>10.245.4.124</t>
  </si>
  <si>
    <t>10.245.4.125</t>
  </si>
  <si>
    <t>10.245.4.127</t>
  </si>
  <si>
    <t>10.245.4.128</t>
  </si>
  <si>
    <t>10.245.4.130</t>
  </si>
  <si>
    <t xml:space="preserve">542078250 </t>
  </si>
  <si>
    <t>M</t>
  </si>
  <si>
    <t>0017FC4F71C4</t>
  </si>
  <si>
    <t>0017FC4F71BD</t>
  </si>
  <si>
    <t>0017FC4F71BB</t>
  </si>
  <si>
    <t>0017FC4F7527</t>
  </si>
  <si>
    <t>0017FC4F6452</t>
  </si>
  <si>
    <t>0017FC4F71C3</t>
  </si>
  <si>
    <t>0017FC4F752A</t>
  </si>
  <si>
    <t>0017FC4F6B73</t>
  </si>
  <si>
    <t>0017FC4F71C6</t>
  </si>
  <si>
    <t>0017FC4F71C2</t>
  </si>
  <si>
    <t>0017FC4F708F</t>
  </si>
  <si>
    <t>0017FC4F7528</t>
  </si>
  <si>
    <t>0017FC4F7526</t>
  </si>
  <si>
    <t>My2N Sec.Code</t>
  </si>
  <si>
    <t>MIL03</t>
  </si>
  <si>
    <r>
      <t>MIL02    (</t>
    </r>
    <r>
      <rPr>
        <b/>
        <i/>
        <sz val="16"/>
        <color theme="1"/>
        <rFont val="Calibri (Corpo)"/>
      </rPr>
      <t>Nota: Impianto possiede anche molti DM20</t>
    </r>
    <r>
      <rPr>
        <b/>
        <sz val="20"/>
        <color theme="1"/>
        <rFont val="Calibri"/>
        <family val="2"/>
        <scheme val="minor"/>
      </rPr>
      <t>)</t>
    </r>
  </si>
  <si>
    <t>CS40</t>
  </si>
  <si>
    <t>Tipo di Device</t>
  </si>
  <si>
    <t>MMC</t>
  </si>
  <si>
    <t xml:space="preserve">8B </t>
  </si>
  <si>
    <t>IOL</t>
  </si>
  <si>
    <t>ITN</t>
  </si>
  <si>
    <t>11B</t>
  </si>
  <si>
    <t>2B</t>
  </si>
  <si>
    <t>10.248.5.102</t>
  </si>
  <si>
    <t>10.248.5.103</t>
  </si>
  <si>
    <t>10.248.5.104</t>
  </si>
  <si>
    <t>10.248.5.105</t>
  </si>
  <si>
    <t>10.248.5.88</t>
  </si>
  <si>
    <t>10.248.5.85</t>
  </si>
  <si>
    <t>10.248.5.91</t>
  </si>
  <si>
    <t>10.248.5.95</t>
  </si>
  <si>
    <t>10.248.5.96</t>
  </si>
  <si>
    <t>10.248.5.89</t>
  </si>
  <si>
    <t>10.248.5.97</t>
  </si>
  <si>
    <t>MXP-N151-ACC-ESW01</t>
  </si>
  <si>
    <t>MXP-N1S2-ACC-ESW01</t>
  </si>
  <si>
    <t>9C</t>
  </si>
  <si>
    <t>11D</t>
  </si>
  <si>
    <t>10.248.5.108</t>
  </si>
  <si>
    <t>10.248.5.106</t>
  </si>
  <si>
    <t>10.248.5.107</t>
  </si>
  <si>
    <t>10.248.5.109</t>
  </si>
  <si>
    <t>BEW2-OAP</t>
  </si>
  <si>
    <t>BEP2_OD</t>
  </si>
  <si>
    <t>MIL01  CAGE</t>
  </si>
  <si>
    <t>MXP-MIL02-AC-ESW01 / SW-AC-PMC-1E</t>
  </si>
  <si>
    <t>MXP-MIL02-AC-ESW02 / SW-AC-PMC-3e</t>
  </si>
  <si>
    <t>MXP-MIL02-AC-ESW03 / SW-AC-PMC-7e</t>
  </si>
  <si>
    <t>MXP-MIL02-AC-ESW04 / SW-AC-PMC-9e</t>
  </si>
  <si>
    <t>MXP-MIL02-AC-ESW05 / SW-AC-MMR-B-CAB03U</t>
  </si>
  <si>
    <t>Tavola</t>
  </si>
  <si>
    <t xml:space="preserve">ACD Nome Porta in mappa </t>
  </si>
  <si>
    <t>Disp. Spingere</t>
  </si>
  <si>
    <t>Disp. Tirare</t>
  </si>
  <si>
    <t>Descrizione &amp;
Note del Varco</t>
  </si>
  <si>
    <t>Percorso ad Albero dei DEVICE</t>
  </si>
  <si>
    <t>Seriale Controller e Posizione</t>
  </si>
  <si>
    <t>Seriale Suprema</t>
  </si>
  <si>
    <t>Nome Master</t>
  </si>
  <si>
    <t>847_02</t>
  </si>
  <si>
    <t>ACD4.01</t>
  </si>
  <si>
    <t>BG</t>
  </si>
  <si>
    <t>RS485'0',W0,RLY0,IN0,OUT0</t>
  </si>
  <si>
    <t>ACP4.1 
fw- 1.5.3</t>
  </si>
  <si>
    <t>ACD4.02</t>
  </si>
  <si>
    <t>RS485'1',RLY1,IN3</t>
  </si>
  <si>
    <t>W1,RLY3,IN2</t>
  </si>
  <si>
    <t>ACD4.03</t>
  </si>
  <si>
    <t>W2,W3,RLY2,IN4,OUT4,OUT6</t>
  </si>
  <si>
    <t>ACD4.21</t>
  </si>
  <si>
    <t>CIT</t>
  </si>
  <si>
    <t>W0,RLY0,OUT0</t>
  </si>
  <si>
    <t>ACP4.2</t>
  </si>
  <si>
    <t>Relay citofono IN3 della 7055</t>
  </si>
  <si>
    <t>ACD4.23</t>
  </si>
  <si>
    <t>W0,IN0,RLY0,OUT0</t>
  </si>
  <si>
    <t>ACD4.04</t>
  </si>
  <si>
    <t>Libero</t>
  </si>
  <si>
    <t>WO,IN0,RLY0,OUT0</t>
  </si>
  <si>
    <t>ACP4.3</t>
  </si>
  <si>
    <t>ACD4.07</t>
  </si>
  <si>
    <t>W1,IN4,RLY2,OUT3</t>
  </si>
  <si>
    <t>ACD4.06</t>
  </si>
  <si>
    <t>W0,W1,RLY0,IN0,OUT0,OUT3</t>
  </si>
  <si>
    <t>ACD4.05</t>
  </si>
  <si>
    <t>ACD4.13</t>
  </si>
  <si>
    <t>ACP4.4</t>
  </si>
  <si>
    <t>ACD4.14</t>
  </si>
  <si>
    <t>ACD4.15</t>
  </si>
  <si>
    <t>ACD4.16</t>
  </si>
  <si>
    <t>ACD4.17</t>
  </si>
  <si>
    <t>W0,RLY0,IN0,OUT0</t>
  </si>
  <si>
    <t>ACD4.18</t>
  </si>
  <si>
    <t>W1',W0,RLY0,IN0,OUT0</t>
  </si>
  <si>
    <t>ACP4.5
 Fw 1.5.2</t>
  </si>
  <si>
    <t>ACD4.19</t>
  </si>
  <si>
    <t>W3,W4,RLY3,IN3,OUT3</t>
  </si>
  <si>
    <t>ACD4.20</t>
  </si>
  <si>
    <t>RS485,RLY2</t>
  </si>
  <si>
    <t>ACD4.08</t>
  </si>
  <si>
    <t>ACP4.6</t>
  </si>
  <si>
    <t>ACD4.09</t>
  </si>
  <si>
    <t>ACD4.10</t>
  </si>
  <si>
    <t>ACD4.11</t>
  </si>
  <si>
    <t>ACD4.12</t>
  </si>
  <si>
    <t>ACD4.22</t>
  </si>
  <si>
    <t>ACP 4.7
Fw 1.5.2</t>
  </si>
  <si>
    <t>W0,RLY0</t>
  </si>
  <si>
    <t>ASC_P0</t>
  </si>
  <si>
    <t>W1,RLY1</t>
  </si>
  <si>
    <t xml:space="preserve">2 DM20 in Stock </t>
  </si>
  <si>
    <t>ACP4.8</t>
  </si>
  <si>
    <t>ACD4.27</t>
  </si>
  <si>
    <t>W0,W1,IN0,RLY0,OUT0,OUT3</t>
  </si>
  <si>
    <t>ACP4.9</t>
  </si>
  <si>
    <t>ACD4.28</t>
  </si>
  <si>
    <t>ACD4.29</t>
  </si>
  <si>
    <t>ACD4.30</t>
  </si>
  <si>
    <t>853_01</t>
  </si>
  <si>
    <t>ACD5.02</t>
  </si>
  <si>
    <t>ACP5.1 
fw 1.5.2</t>
  </si>
  <si>
    <t>ACD5.03</t>
  </si>
  <si>
    <t>W1,RLY1,IN2,OUT2</t>
  </si>
  <si>
    <t>ACD5.04</t>
  </si>
  <si>
    <t>W2,RLY2,IN4,OUT4</t>
  </si>
  <si>
    <t>ACD5.05</t>
  </si>
  <si>
    <t>Cancellino</t>
  </si>
  <si>
    <t>W1,W0,RLY0,IN0,OUT0</t>
  </si>
  <si>
    <t>ACP5.3
 Fw 1.5.2</t>
  </si>
  <si>
    <t>Future Application</t>
  </si>
  <si>
    <t>Corestation 2 Wiegand Vuote</t>
  </si>
  <si>
    <t>ACDSE.01_Exit _car</t>
  </si>
  <si>
    <t>W0,RLY0,IN0</t>
  </si>
  <si>
    <t>ACPSE1 
FW 1.5.2</t>
  </si>
  <si>
    <t>RELE CITOFONO PER USCITA AUTOMEZZI</t>
  </si>
  <si>
    <t>IN0 **(conf.come EXIT Button della porta)</t>
  </si>
  <si>
    <t>ACDSE01_Exit_Dissuasore_Su</t>
  </si>
  <si>
    <t xml:space="preserve">TASTIERA API </t>
  </si>
  <si>
    <t>W2,RLY2,IN6</t>
  </si>
  <si>
    <t>ACDSE01_Exit_Dissuasore_Giu</t>
  </si>
  <si>
    <t>W3,RLY3</t>
  </si>
  <si>
    <t>ACDNE1_PedonaleEntry</t>
  </si>
  <si>
    <t>ACPNE1 
FW 1.5.2</t>
  </si>
  <si>
    <t>RELE CITOFONO PER INGRESSO PEDONALE ACDNE0</t>
  </si>
  <si>
    <t>BOTTONE DI USCITA PEDONALE a FUNGO</t>
  </si>
  <si>
    <t>ACDNE2_Entry_Car</t>
  </si>
  <si>
    <t>IN4 **(conf.come EXIT Button della porta)</t>
  </si>
  <si>
    <t>ACDNE01_Exit_Dissuasore_Su</t>
  </si>
  <si>
    <t>W3,RLY3,IN2</t>
  </si>
  <si>
    <t>ACDNE01_Exit_Dissuasore_Giu</t>
  </si>
  <si>
    <t>815_02</t>
  </si>
  <si>
    <t>ACD1.01</t>
  </si>
  <si>
    <t>ACP1.1 
Fw. 1.5.2</t>
  </si>
  <si>
    <t>ACD1.02</t>
  </si>
  <si>
    <t>W3,RLY3,IN6,OUT6</t>
  </si>
  <si>
    <t>ACD1.03</t>
  </si>
  <si>
    <t>ACD1.04</t>
  </si>
  <si>
    <t>ACD1.05</t>
  </si>
  <si>
    <t>ACP1.2</t>
  </si>
  <si>
    <t>ACD1.06</t>
  </si>
  <si>
    <t>W1,RLY2,IN4,OUT3</t>
  </si>
  <si>
    <t>ACD1.07</t>
  </si>
  <si>
    <t>ACD1.08</t>
  </si>
  <si>
    <t>7042 (7047)</t>
  </si>
  <si>
    <t>ACD1.09</t>
  </si>
  <si>
    <t>ACD1.10</t>
  </si>
  <si>
    <t>ACP1.3</t>
  </si>
  <si>
    <t>ACD1.11</t>
  </si>
  <si>
    <t>ACD1.12</t>
  </si>
  <si>
    <t>ACD1.13</t>
  </si>
  <si>
    <t>DM20 Libero</t>
  </si>
  <si>
    <t>ACD1.14</t>
  </si>
  <si>
    <t>ACP1.4</t>
  </si>
  <si>
    <t>ACD1.15</t>
  </si>
  <si>
    <t>ACD1.16</t>
  </si>
  <si>
    <t>ACD1.17</t>
  </si>
  <si>
    <t>ACP1.5 
 Fw. 1.5.2</t>
  </si>
  <si>
    <t>ACD1.18</t>
  </si>
  <si>
    <t>ACD1.19</t>
  </si>
  <si>
    <t>ACD1.20</t>
  </si>
  <si>
    <t>RS485'1',W1,RLY1,IN2,OUT2</t>
  </si>
  <si>
    <t>826_01</t>
  </si>
  <si>
    <t>ACD2.01</t>
  </si>
  <si>
    <t>ACP2.1
  fw 1.5.3</t>
  </si>
  <si>
    <t>ACD2.02</t>
  </si>
  <si>
    <t>W2,W3,RLY2,IN4,OUT4</t>
  </si>
  <si>
    <t>ACD2.03</t>
  </si>
  <si>
    <t>ACP2.2</t>
  </si>
  <si>
    <t>ACP2.3</t>
  </si>
  <si>
    <t>ACD2.04</t>
  </si>
  <si>
    <t>ACP2.4 
Fw 1.5.2</t>
  </si>
  <si>
    <t>ACD2.05</t>
  </si>
  <si>
    <t>ACD2.08</t>
  </si>
  <si>
    <t>ACD2.11</t>
  </si>
  <si>
    <t>IN5 **(conf.come EXIT Button della porta)</t>
  </si>
  <si>
    <t>ACD2.07</t>
  </si>
  <si>
    <t>ACP2.5</t>
  </si>
  <si>
    <t>ACD2.09</t>
  </si>
  <si>
    <t>RS485,W1,RLY0,IN0,OUT0,OUT3</t>
  </si>
  <si>
    <t>ACD2.10</t>
  </si>
  <si>
    <t>ACP2.7</t>
  </si>
  <si>
    <t>ACP2.8</t>
  </si>
  <si>
    <t>ACD2.14</t>
  </si>
  <si>
    <t>ACD2.15</t>
  </si>
  <si>
    <t>ACD2.12</t>
  </si>
  <si>
    <t>W0,W1,RLY0,IN0,OUT0</t>
  </si>
  <si>
    <t>ACP2.6 
fw. 1.5.2</t>
  </si>
  <si>
    <t>ACD2.13</t>
  </si>
  <si>
    <t>ACD2.16</t>
  </si>
  <si>
    <t>W0,W1,RLY0,IN2,OUT2,OUT4</t>
  </si>
  <si>
    <t>ACP2.9
 Fw 1.5.2</t>
  </si>
  <si>
    <t>ACD2.17</t>
  </si>
  <si>
    <t>3xDM20</t>
  </si>
  <si>
    <t>2xDM20</t>
  </si>
  <si>
    <t>Quadro Slave in RS485 senza indirizzo di rete</t>
  </si>
  <si>
    <t>Master ACP1.1</t>
  </si>
  <si>
    <t>Master ACP2.1</t>
  </si>
  <si>
    <t>Master ACP2.4</t>
  </si>
  <si>
    <t>Master ACP4.1</t>
  </si>
  <si>
    <t>Master ACP4.5</t>
  </si>
  <si>
    <t>Master ACP4.7</t>
  </si>
  <si>
    <t>Nome Su Biostar</t>
  </si>
  <si>
    <t>(Biometrici assimilati a Quadri perché gestiscono il Varco direttamente)</t>
  </si>
  <si>
    <t>ACP1.2(DM1)
ACP1.2(DM2)
ACP1.2(DM3)</t>
  </si>
  <si>
    <t>7052
7061
7047</t>
  </si>
  <si>
    <t>7054
7051</t>
  </si>
  <si>
    <r>
      <t xml:space="preserve">7041
7045
</t>
    </r>
    <r>
      <rPr>
        <sz val="12"/>
        <color rgb="FFFF0000"/>
        <rFont val="Calibri (Corpo)"/>
      </rPr>
      <t>7040</t>
    </r>
  </si>
  <si>
    <t>7063
7059
7060</t>
  </si>
  <si>
    <t>7356
5627
7345</t>
  </si>
  <si>
    <t>7055
7346</t>
  </si>
  <si>
    <t>7065
7067
7068</t>
  </si>
  <si>
    <t>7070
7069
7043</t>
  </si>
  <si>
    <t>7039
7049
7056</t>
  </si>
  <si>
    <t>7057
7044
7042</t>
  </si>
  <si>
    <t>Quadro Fisico</t>
  </si>
  <si>
    <t>E-01-01</t>
  </si>
  <si>
    <t>BG
 + RLY CIT (10.245.140.71)</t>
  </si>
  <si>
    <t>I-01-01</t>
  </si>
  <si>
    <t>FREE</t>
  </si>
  <si>
    <t>****In Uscita e in Entrata le due prote Automatiche si aprono insieme. L'uscita èl ibera in modo automatico; Tuttavia mettiamo il BADGE nel caso si volesse effettuare una lettura ai fini dell'Evacuazione.</t>
  </si>
  <si>
    <t>I.01-09</t>
  </si>
  <si>
    <t>I.01-11</t>
  </si>
  <si>
    <t>I.01-13</t>
  </si>
  <si>
    <t>I.01-17</t>
  </si>
  <si>
    <t>I.01-19</t>
  </si>
  <si>
    <t>I.01-21</t>
  </si>
  <si>
    <t>I.01-22</t>
  </si>
  <si>
    <t>I.01-23</t>
  </si>
  <si>
    <t>BM (10.245.140.54)</t>
  </si>
  <si>
    <t>I.02-02</t>
  </si>
  <si>
    <t>I.01-12</t>
  </si>
  <si>
    <t>I.01-18</t>
  </si>
  <si>
    <t>????</t>
  </si>
  <si>
    <t>I.02-03</t>
  </si>
  <si>
    <t>I.02-04</t>
  </si>
  <si>
    <t>BM (10.245.140.55)</t>
  </si>
  <si>
    <t>I.02-07</t>
  </si>
  <si>
    <t>I.02-08</t>
  </si>
  <si>
    <t>I.02.24</t>
  </si>
  <si>
    <t>I.02-11</t>
  </si>
  <si>
    <t>I.02-12</t>
  </si>
  <si>
    <t>I.02-14</t>
  </si>
  <si>
    <t>I.02-13</t>
  </si>
  <si>
    <t>I.03.09</t>
  </si>
  <si>
    <t>I.03.10</t>
  </si>
  <si>
    <t>I.03.12</t>
  </si>
  <si>
    <t>I.03.13</t>
  </si>
  <si>
    <t>I.03.14</t>
  </si>
  <si>
    <t>I.03.15</t>
  </si>
  <si>
    <t>I.03.01</t>
  </si>
  <si>
    <t>I.03.02</t>
  </si>
  <si>
    <t>I.03.04</t>
  </si>
  <si>
    <t>I.03.06</t>
  </si>
  <si>
    <t>E.03-01</t>
  </si>
  <si>
    <t>E.04-SBA-PT</t>
  </si>
  <si>
    <t>E.04-PMA-P1</t>
  </si>
  <si>
    <t>E.04-SBB-PT</t>
  </si>
  <si>
    <t>E.04PMB-P1</t>
  </si>
  <si>
    <t>E.04-SBX-PT</t>
  </si>
  <si>
    <t>E.04-PMX-P1</t>
  </si>
  <si>
    <t>E.04-SBC-PT</t>
  </si>
  <si>
    <t>E.04PMC-P1</t>
  </si>
  <si>
    <t>E.04-SBD-PT</t>
  </si>
  <si>
    <t>E.04-PMD-P1</t>
  </si>
  <si>
    <t>E.04-SBX2-PT</t>
  </si>
  <si>
    <t>E.04PMX2-P1</t>
  </si>
  <si>
    <t>E.04-ENTRYCAR</t>
  </si>
  <si>
    <t>BG
 + RLY CIT (10.245.140.73)</t>
  </si>
  <si>
    <t>E.04-PEDOANLE</t>
  </si>
  <si>
    <t>BG
 + RLY CIT (10.245.140.74)</t>
  </si>
  <si>
    <t>E.04-EXITCAR</t>
  </si>
  <si>
    <t>BG
 + RLY CIT (10.245.140.75)</t>
  </si>
  <si>
    <t>NDA5</t>
  </si>
  <si>
    <t>Contatto nel Maniglione</t>
  </si>
  <si>
    <t>134x215 S</t>
  </si>
  <si>
    <t>ACP 1.1
 Corestation
(10.245.140.11)</t>
  </si>
  <si>
    <t>RLY0,RS485'0',IN0,IN1</t>
  </si>
  <si>
    <t>-</t>
  </si>
  <si>
    <t>Tornello Ent.</t>
  </si>
  <si>
    <t>ACP 1.2      Corestation
(10.245.140.12)</t>
  </si>
  <si>
    <t>RLY0,RS485'0',IN0</t>
  </si>
  <si>
    <t>Tornello Usc.</t>
  </si>
  <si>
    <t>RLY2,RS485'2',IN4</t>
  </si>
  <si>
    <t xml:space="preserve">T.REX  </t>
  </si>
  <si>
    <t>100x215 S</t>
  </si>
  <si>
    <t>ACP 1.3      Corestation
(10.245.140.13)</t>
  </si>
  <si>
    <t>RLY0,WO,IN0,IN1,OUT0</t>
  </si>
  <si>
    <t>RLY1,W1,IN2,IN3,OUT2</t>
  </si>
  <si>
    <t>RLY2,W2,IN4,IN5,OUT4</t>
  </si>
  <si>
    <t>RLY3,W3,IN6,IN7,OUT6</t>
  </si>
  <si>
    <t>ACP 1.4 
Corestation
(10.245.140.14)</t>
  </si>
  <si>
    <t>134x215 D</t>
  </si>
  <si>
    <t>ACP 2.1      Corestation
(10.245.140.21)</t>
  </si>
  <si>
    <t>250x310 D</t>
  </si>
  <si>
    <t>Pulsante Fungo</t>
  </si>
  <si>
    <t>Cancellino Area Substation</t>
  </si>
  <si>
    <t>ACP2.2
Corestation
(10.245.140.22)</t>
  </si>
  <si>
    <t>T.REX</t>
  </si>
  <si>
    <t>210x310 D</t>
  </si>
  <si>
    <t>RLY3,RS485'3',IN6,IN7</t>
  </si>
  <si>
    <t>ACP2.3      Corestation
(10.245.140.23)</t>
  </si>
  <si>
    <t>ACP2.4     Corestation
(10.245.140.24)</t>
  </si>
  <si>
    <t>E' I-01-12  ???</t>
  </si>
  <si>
    <t>ACP2.5     Corestation
(10.245.140.25)</t>
  </si>
  <si>
    <t>ACP3.1      Corestation
(10.245.140.31)</t>
  </si>
  <si>
    <t xml:space="preserve"> 1 Contatti nel Maniglione </t>
  </si>
  <si>
    <t>ACP3.2     Corestation
(10.245.140.32)</t>
  </si>
  <si>
    <t>ACP3.3      Corestation
(10.245.140.33)</t>
  </si>
  <si>
    <t>ACP3.4      Corestation
(10.245.140.34)</t>
  </si>
  <si>
    <t>ACP4.1      Corestation
(10.245.140.41)</t>
  </si>
  <si>
    <t>ACP4.2     Corestation
(10.245.140.42)</t>
  </si>
  <si>
    <t>ACP4.3      Corestation
(10.245.140.43)</t>
  </si>
  <si>
    <t>Canc.Scorrevole</t>
  </si>
  <si>
    <t>ACP4.4      Corestation
(10.245.140.44)</t>
  </si>
  <si>
    <t>ACP4.5      Corestation
(10.245.140.45)</t>
  </si>
  <si>
    <t>ACP4.6      Corestation
(10.245.140.45)</t>
  </si>
  <si>
    <t>MIL 02</t>
  </si>
  <si>
    <t>MIL 03</t>
  </si>
  <si>
    <t>Tipo Porta</t>
  </si>
  <si>
    <t>Tipo ACD</t>
  </si>
  <si>
    <t>Nome Tipo 
"ACD.."</t>
  </si>
  <si>
    <t>Device</t>
  </si>
  <si>
    <t>Tipo</t>
  </si>
  <si>
    <t>RS485</t>
  </si>
  <si>
    <t>MAC</t>
  </si>
  <si>
    <t>Dovra essere spostata sull'ACP 4.01</t>
  </si>
  <si>
    <t>Grey  UPS Room</t>
  </si>
  <si>
    <t>ACP1.1</t>
  </si>
  <si>
    <t>DM20</t>
  </si>
  <si>
    <t>W0,W1,RLY0,IN0,OUT0,OUT1,OUT3,OUT4</t>
  </si>
  <si>
    <t>ACD1.22</t>
  </si>
  <si>
    <t>Cancelletto Esterno</t>
  </si>
  <si>
    <t>ACD1.20+CIT</t>
  </si>
  <si>
    <t>BG rimosso</t>
  </si>
  <si>
    <t>W1,RLY2,IN4,OUT3,OUT4</t>
  </si>
  <si>
    <t>2DM20</t>
  </si>
  <si>
    <t>ACD1.21</t>
  </si>
  <si>
    <t>W0,RLY0,IN0,OUT0,OUT1</t>
  </si>
  <si>
    <t>ACD1.23</t>
  </si>
  <si>
    <t>ACD1.24</t>
  </si>
  <si>
    <t>3DM20</t>
  </si>
  <si>
    <t>Grey Switch Gear</t>
  </si>
  <si>
    <t>Blu UPS Room</t>
  </si>
  <si>
    <t>Blu Switch Gear</t>
  </si>
  <si>
    <t>Red UPS Room</t>
  </si>
  <si>
    <t>ACP1.5</t>
  </si>
  <si>
    <t>Red Switch Gear</t>
  </si>
  <si>
    <t>ACP1.6</t>
  </si>
  <si>
    <t>Passage</t>
  </si>
  <si>
    <t>Uscita angolo edificio</t>
  </si>
  <si>
    <t>MIL01-B</t>
  </si>
  <si>
    <t>MIL01-A</t>
  </si>
  <si>
    <t>10.248.39.16</t>
  </si>
  <si>
    <t>CR01-19</t>
  </si>
  <si>
    <t>CR01-01</t>
  </si>
  <si>
    <t>CR01-02</t>
  </si>
  <si>
    <t>CR01-03</t>
  </si>
  <si>
    <t>Equipmentt E01.12-2</t>
  </si>
  <si>
    <t>1UPSG N/E 01.03</t>
  </si>
  <si>
    <t>1UPSG N/W 01.03</t>
  </si>
  <si>
    <t>1UPSB N/E 01.04</t>
  </si>
  <si>
    <t>Locale
Q.E</t>
  </si>
  <si>
    <t>Monitoring/Room</t>
  </si>
  <si>
    <t>ACP 1.01</t>
  </si>
  <si>
    <t>ACP2.15</t>
  </si>
  <si>
    <t>10.248.39.35</t>
  </si>
  <si>
    <t>MIL01B</t>
  </si>
  <si>
    <t>MIL01A</t>
  </si>
  <si>
    <t>ACP1.01
Corestation
10.248.39.16</t>
  </si>
  <si>
    <t>542082260</t>
  </si>
  <si>
    <t>W0,RLY0(NO),IN0,IN1,OUT0,OUT1</t>
  </si>
  <si>
    <t>Nome MT
ACX</t>
  </si>
  <si>
    <t>Nome MT
Serrature</t>
  </si>
  <si>
    <t>Il primo IN è il contatto / il secondo Pulsante</t>
  </si>
  <si>
    <t>QF1 
e trafo TR1(24VAC)</t>
  </si>
  <si>
    <t>QF5.01</t>
  </si>
  <si>
    <t>**Sull PS12 c'è un MT ingresso e 1 in uscita</t>
  </si>
  <si>
    <t>**Indichiamo il MT in uscita dal PS12</t>
  </si>
  <si>
    <t>ACP1.02</t>
  </si>
  <si>
    <t>ACP1.03</t>
  </si>
  <si>
    <t>ACP1.04</t>
  </si>
  <si>
    <t>ACP1.05</t>
  </si>
  <si>
    <t>ACP1.06</t>
  </si>
  <si>
    <t>ACP1.07</t>
  </si>
  <si>
    <t>10.248.39.17</t>
  </si>
  <si>
    <t>10.248.39.18</t>
  </si>
  <si>
    <t>10.248.39.28</t>
  </si>
  <si>
    <t>10.248.39.20</t>
  </si>
  <si>
    <t>10.248.39.21</t>
  </si>
  <si>
    <t>10.248.39.22</t>
  </si>
  <si>
    <t>ACP2.01</t>
  </si>
  <si>
    <t>10.248.39.23</t>
  </si>
  <si>
    <t>ACP2.02</t>
  </si>
  <si>
    <t>10.248.39.24</t>
  </si>
  <si>
    <t>ACP4.01</t>
  </si>
  <si>
    <t>ACP4.02</t>
  </si>
  <si>
    <t>ACP4.03</t>
  </si>
  <si>
    <t>ACP5.01</t>
  </si>
  <si>
    <t>ACP5.02</t>
  </si>
  <si>
    <t>10.248.39.25</t>
  </si>
  <si>
    <t>10.248.39.26</t>
  </si>
  <si>
    <t>10.248.39.27</t>
  </si>
  <si>
    <t>10.248.39.19</t>
  </si>
  <si>
    <t>10.248.39.29</t>
  </si>
  <si>
    <t>10.248.39.30</t>
  </si>
  <si>
    <t>10.248.39.31</t>
  </si>
  <si>
    <t>10.248.39.32</t>
  </si>
  <si>
    <t>10.248.39.33</t>
  </si>
  <si>
    <t>CR01-04</t>
  </si>
  <si>
    <t>CR01-05</t>
  </si>
  <si>
    <t>CR01-06</t>
  </si>
  <si>
    <t>CR01-07</t>
  </si>
  <si>
    <t>CR01-08</t>
  </si>
  <si>
    <t>CR01-09</t>
  </si>
  <si>
    <t>CR01-10</t>
  </si>
  <si>
    <t>CR04-04</t>
  </si>
  <si>
    <t>CR01-11</t>
  </si>
  <si>
    <t>CR01-12</t>
  </si>
  <si>
    <t>CR01-20</t>
  </si>
  <si>
    <t>-----</t>
  </si>
  <si>
    <t>ACP1.02
Corestation
10.248.39.17</t>
  </si>
  <si>
    <t>ACP1.03
Corestation
10.248.39.18</t>
  </si>
  <si>
    <t>MXP-N1O1-ACC-ESW03</t>
  </si>
  <si>
    <t>10.248.39.34</t>
  </si>
  <si>
    <t>10.248.39.36</t>
  </si>
  <si>
    <t>10.248.39.37</t>
  </si>
  <si>
    <t>CA5_05B</t>
  </si>
  <si>
    <t>10.248.39.38</t>
  </si>
  <si>
    <t>10.248.39.39</t>
  </si>
  <si>
    <t>10.248.39.40</t>
  </si>
  <si>
    <t>10.248.39.41</t>
  </si>
  <si>
    <t>10.248.39.42</t>
  </si>
  <si>
    <t>CA5_09</t>
  </si>
  <si>
    <t>10.248.39.43</t>
  </si>
  <si>
    <t>10.248.39.44</t>
  </si>
  <si>
    <t>10.248.39.45</t>
  </si>
  <si>
    <t>10.248.39.46</t>
  </si>
  <si>
    <t>10.248.39.47</t>
  </si>
  <si>
    <t>10.248.39.48</t>
  </si>
  <si>
    <t>10.248.39.49</t>
  </si>
  <si>
    <t>10.248.39.50</t>
  </si>
  <si>
    <t>Gi1/0/22</t>
  </si>
  <si>
    <t>CA5_17</t>
  </si>
  <si>
    <t>10.248.39.51</t>
  </si>
  <si>
    <t>Gi1/0/15</t>
  </si>
  <si>
    <t>10.248.39.52</t>
  </si>
  <si>
    <t>10.248.39.53</t>
  </si>
  <si>
    <t>10.248.39.54</t>
  </si>
  <si>
    <t>10.248.39.55</t>
  </si>
  <si>
    <t>10.248.39.56</t>
  </si>
  <si>
    <t>10.248.39.57</t>
  </si>
  <si>
    <t>CA8_01</t>
  </si>
  <si>
    <t>10.248.39.58</t>
  </si>
  <si>
    <t>CA8_02</t>
  </si>
  <si>
    <t>10.248.39.59</t>
  </si>
  <si>
    <t>CA8_02B</t>
  </si>
  <si>
    <t>10.248.39.60</t>
  </si>
  <si>
    <t>CA8_03</t>
  </si>
  <si>
    <t>10.248.39.61</t>
  </si>
  <si>
    <t>CA8_04</t>
  </si>
  <si>
    <t>10.248.39.62</t>
  </si>
  <si>
    <t>10.248.39.63</t>
  </si>
  <si>
    <t>10.248.39.64</t>
  </si>
  <si>
    <t>10.248.39.92</t>
  </si>
  <si>
    <t>10.248.39.87</t>
  </si>
  <si>
    <t>10.248.39.85</t>
  </si>
  <si>
    <t>10.248.39.86</t>
  </si>
  <si>
    <t>10.248.39.88</t>
  </si>
  <si>
    <t>10.248.39.89</t>
  </si>
  <si>
    <t>10.248.39.90</t>
  </si>
  <si>
    <t>CR807X</t>
  </si>
  <si>
    <t>CR126</t>
  </si>
  <si>
    <t>libero</t>
  </si>
  <si>
    <t>POE</t>
  </si>
  <si>
    <t>1574
1562</t>
  </si>
  <si>
    <t>2000
2005
1491</t>
  </si>
  <si>
    <t>CS40+DM20</t>
  </si>
  <si>
    <t>788891980
542082683</t>
  </si>
  <si>
    <t>1.7.1</t>
  </si>
  <si>
    <t>1.6.1</t>
  </si>
  <si>
    <t>0017fc4f8677</t>
  </si>
  <si>
    <t>10.245.4.140</t>
  </si>
  <si>
    <t>MXP-MIL01B-S3-ACC-ESW01</t>
  </si>
  <si>
    <t>CR01-08,CR01-09,CR01-10,CR04-04</t>
  </si>
  <si>
    <t>ACD1.01,ACD1.02,ACD1.03,ACD1.22</t>
  </si>
  <si>
    <t>ACD1.04,ACD1.05,ACD1.06,ACD1.07</t>
  </si>
  <si>
    <t>ACD1.08,ACD1.09,ACD1.10,ACD1.11</t>
  </si>
  <si>
    <t>ACD1.12,ACD1.13,ACD1.14,ACD1.15</t>
  </si>
  <si>
    <t>ACD1.16,ACD1.18,ACD1.17,ACD1.19</t>
  </si>
  <si>
    <t>ACD1.20+CIT
ACD1.21,ACD1.23,ACD1.24</t>
  </si>
  <si>
    <t>12VDC / ChiusaNoPower</t>
  </si>
  <si>
    <t>Master</t>
  </si>
  <si>
    <t>Slave</t>
  </si>
  <si>
    <t>0017fc4f8544</t>
  </si>
  <si>
    <t>CR01-019,CR01-01,CR01-02,CR01-03</t>
  </si>
  <si>
    <t>subnet</t>
  </si>
  <si>
    <t>Gtway</t>
  </si>
  <si>
    <t>140.1</t>
  </si>
  <si>
    <t>/24</t>
  </si>
  <si>
    <t>4.1</t>
  </si>
  <si>
    <t>5.1</t>
  </si>
  <si>
    <t>39.1</t>
  </si>
  <si>
    <t>CR01-04,CR01-05,CR01-06,CR01,07</t>
  </si>
  <si>
    <t>CR01-11,CR01-12,CR01-20</t>
  </si>
  <si>
    <t>CR01-21,CR01-22,CR01-23</t>
  </si>
  <si>
    <t>ACP2.15
Corestation
10.248.39.25</t>
  </si>
  <si>
    <t>CR1004</t>
  </si>
  <si>
    <t>---</t>
  </si>
  <si>
    <t>non usabile</t>
  </si>
  <si>
    <t>0017fc4f857b</t>
  </si>
  <si>
    <t>W0,W1,RLY2,IN4,OUT3,OUT4</t>
  </si>
  <si>
    <t>W0,W1,RLY0,IN0 (10kOhm),OUT0</t>
  </si>
  <si>
    <t>W2,W3,IN4 (NC),OUT4,RLY2</t>
  </si>
  <si>
    <t>MIL01B_ACP1.01</t>
  </si>
  <si>
    <t>1956
1966
1971</t>
  </si>
  <si>
    <t>1962
1968
2008</t>
  </si>
  <si>
    <t>1992
1979
1982</t>
  </si>
  <si>
    <t>MIL01B_ACD1,12&amp;ACD1,13
MIL01B_ACD1,14
MIL01B_ACD1,15</t>
  </si>
  <si>
    <t>MIL01B_ACD1.20&amp;ACD1.21
MIL01B_ACD1.23&amp;ACD1.24</t>
  </si>
  <si>
    <t>MIL01B_ACD1.16&amp;ACD1,18
MIL01B_ACD1,17
MIL01B_ACD1,19</t>
  </si>
  <si>
    <t>ACD7.21</t>
  </si>
  <si>
    <t>ACD7.22</t>
  </si>
  <si>
    <t>ACD7.23</t>
  </si>
  <si>
    <t>ACD7.18</t>
  </si>
  <si>
    <t>ACP7.7</t>
  </si>
  <si>
    <t>ACD7.20</t>
  </si>
  <si>
    <t>ACD7.16</t>
  </si>
  <si>
    <t>ACP7.6</t>
  </si>
  <si>
    <t>ACD7.17</t>
  </si>
  <si>
    <t>ACD7.19</t>
  </si>
  <si>
    <t>ACD7.13</t>
  </si>
  <si>
    <t>ACD7.5</t>
  </si>
  <si>
    <t>ACD7.14</t>
  </si>
  <si>
    <t>ACD7.15</t>
  </si>
  <si>
    <t>ACD7.09</t>
  </si>
  <si>
    <t>ACP7.4</t>
  </si>
  <si>
    <t>ACD7.12</t>
  </si>
  <si>
    <t>ACD7.06</t>
  </si>
  <si>
    <t>ACP7.3</t>
  </si>
  <si>
    <t>ACD7.08</t>
  </si>
  <si>
    <t>ACD7.11</t>
  </si>
  <si>
    <t>ACD7.03</t>
  </si>
  <si>
    <t>ACP7.2</t>
  </si>
  <si>
    <t>ACD7.05</t>
  </si>
  <si>
    <t>ACD7.07</t>
  </si>
  <si>
    <t>ACD7.01</t>
  </si>
  <si>
    <t>ACP7.8</t>
  </si>
  <si>
    <t>ACD7.02</t>
  </si>
  <si>
    <t xml:space="preserve">BG  </t>
  </si>
  <si>
    <t>ACD7.10</t>
  </si>
  <si>
    <t>8.02</t>
  </si>
  <si>
    <t>7.04</t>
  </si>
  <si>
    <t>ACP8.3</t>
  </si>
  <si>
    <t>ACP7.10</t>
  </si>
  <si>
    <t>ACD7.21,ACD7.22,ACD7.23,</t>
  </si>
  <si>
    <t>ACD7.18,ACD7.20,,</t>
  </si>
  <si>
    <t>ACD7.16,ACD7.17,ACD7.19,</t>
  </si>
  <si>
    <t>ACD7.13,ACD7.14,ACD7.15,</t>
  </si>
  <si>
    <t>ACD7.09,ACD7.10,ACD7.12,</t>
  </si>
  <si>
    <t>ACD7.06,ACD7.08,ACD7.11,</t>
  </si>
  <si>
    <t>ACD7.03,ACD7.05,ACD7.07,</t>
  </si>
  <si>
    <t>ACD7.01,ACD7.02,,</t>
  </si>
  <si>
    <t>8.02,8.05,7.04,</t>
  </si>
  <si>
    <t>35.1</t>
  </si>
  <si>
    <t>1.2
1.6.1</t>
  </si>
  <si>
    <t>Parallelo da ACP1.1</t>
  </si>
  <si>
    <t>N1 Serie da ACP1.1</t>
  </si>
  <si>
    <t>Serie da ACP1.3</t>
  </si>
  <si>
    <t>Serie da ACP1.4</t>
  </si>
  <si>
    <t>Serie da ACP1.5 - 120Ohm EOL</t>
  </si>
  <si>
    <t>ACP2.1</t>
  </si>
  <si>
    <t>ACD2.4</t>
  </si>
  <si>
    <r>
      <rPr>
        <b/>
        <sz val="8"/>
        <rFont val="Calibri"/>
        <family val="2"/>
      </rPr>
      <t>rev.A1</t>
    </r>
  </si>
  <si>
    <r>
      <rPr>
        <b/>
        <sz val="11"/>
        <rFont val="Calibri"/>
        <family val="2"/>
      </rPr>
      <t>ACP4.2</t>
    </r>
  </si>
  <si>
    <r>
      <rPr>
        <b/>
        <sz val="8"/>
        <rFont val="Calibri"/>
        <family val="2"/>
      </rPr>
      <t>NHJC282651</t>
    </r>
  </si>
  <si>
    <t>MXP-MIL01A-S1-ACC-ESW02
(ex MXP-N1O1-ACC-ESW02)</t>
  </si>
  <si>
    <t>0017fc4f867b</t>
  </si>
  <si>
    <t>0017fc4f844d</t>
  </si>
  <si>
    <t>1.6.3</t>
  </si>
  <si>
    <t>W0,RLY0(NO),IN1,IN0,OUT0,OUT1</t>
  </si>
  <si>
    <t>W1,RLY1(NO),S_IN2,IN3,OUT2,OUT3</t>
  </si>
  <si>
    <t>W02,RLY2(NO),S_IN04,IN5,OUT4,OUT5</t>
  </si>
  <si>
    <t>W3,RLY3(NO),S_IN6,IN7,OUT6,OUT7</t>
  </si>
  <si>
    <t>RS485,RLY0(NO),S_IN0</t>
  </si>
  <si>
    <t>10.248.39.81</t>
  </si>
  <si>
    <t>CR04_07</t>
  </si>
  <si>
    <t>10.248.39.83</t>
  </si>
  <si>
    <t>10.248.39.82</t>
  </si>
  <si>
    <t>CR_806</t>
  </si>
  <si>
    <t>CR_807</t>
  </si>
  <si>
    <t>CR_803</t>
  </si>
  <si>
    <t>CR_802</t>
  </si>
  <si>
    <t>CR_800</t>
  </si>
  <si>
    <t>CR_801</t>
  </si>
  <si>
    <t>W0,W1,RLY0,IN0,OUT0,OU1,OUT2,OUT3</t>
  </si>
  <si>
    <t>CM Guasto</t>
  </si>
  <si>
    <t>RLY Citofono</t>
  </si>
  <si>
    <t>9A</t>
  </si>
  <si>
    <t>10.248.39.109</t>
  </si>
  <si>
    <t>10.248.39.106</t>
  </si>
  <si>
    <t>1.8</t>
  </si>
  <si>
    <t>ACP 1.1 (140.11)</t>
  </si>
  <si>
    <t>TORNELLO A</t>
  </si>
  <si>
    <t>TORNELLO B</t>
  </si>
  <si>
    <t>TAST.TORNELLO</t>
  </si>
  <si>
    <t>10.245.140.90</t>
  </si>
  <si>
    <t>10.245.140.91</t>
  </si>
  <si>
    <t>10.245.140.92</t>
  </si>
  <si>
    <t>Configurazione eseguita da Laservifdeo</t>
  </si>
  <si>
    <t>CR800,CR801,CR05-02</t>
  </si>
  <si>
    <t>CR800</t>
  </si>
  <si>
    <t>CR801</t>
  </si>
  <si>
    <t>CR05-02</t>
  </si>
  <si>
    <t>Tornello</t>
  </si>
  <si>
    <t>Emergenza</t>
  </si>
  <si>
    <t>ACP5.13
Corestation
10.248.39.47</t>
  </si>
  <si>
    <t>ACP5.12
Corestation
10.248.39.46</t>
  </si>
  <si>
    <t>CR802</t>
  </si>
  <si>
    <t>CR803</t>
  </si>
  <si>
    <t>CR804</t>
  </si>
  <si>
    <t>CR802,CR803,CR804</t>
  </si>
  <si>
    <t>ACP5.11</t>
  </si>
  <si>
    <t>ACP5.12</t>
  </si>
  <si>
    <t>ACP5.13</t>
  </si>
  <si>
    <t>si</t>
  </si>
  <si>
    <t>TechRoom - Quadro PMC7 - "ACCESSI"</t>
  </si>
  <si>
    <t>IDF ROOM - CAB03A - "ACCESSI"</t>
  </si>
  <si>
    <t>Water Treatment 2 - QUADRI TMC6</t>
  </si>
  <si>
    <t>Substation  - Quadro PMC9 - "ACCESSI"</t>
  </si>
  <si>
    <t>10.245.140.59</t>
  </si>
  <si>
    <t>10.245.140.60</t>
  </si>
  <si>
    <t>BM_I.01-04 (140.51)</t>
  </si>
  <si>
    <t>RLY1,W1,OUT2</t>
  </si>
  <si>
    <t>RLY3,W3,OUT6</t>
  </si>
  <si>
    <t>BM
(10.245.140.51)</t>
  </si>
  <si>
    <t>BM
(10.245.140.56)</t>
  </si>
  <si>
    <t>si da verificare</t>
  </si>
  <si>
    <t>1.7</t>
  </si>
  <si>
    <t>BM (Slave ACP1.2)</t>
  </si>
  <si>
    <t>BM (Slave ACP1.1)</t>
  </si>
  <si>
    <t>BM (Slave ACP2.2)</t>
  </si>
  <si>
    <t>Maniglione NO  - NoActiveRLY</t>
  </si>
  <si>
    <t>T.REX NC - NoActiveRLY</t>
  </si>
  <si>
    <t>da file BYD 24/05</t>
  </si>
  <si>
    <t>BM (Enroll)</t>
  </si>
  <si>
    <t>Citofono IN6</t>
  </si>
  <si>
    <t>da configurare BM</t>
  </si>
  <si>
    <t>BM 460 (10.245.140.57)</t>
  </si>
  <si>
    <t>----</t>
  </si>
  <si>
    <t>ACP5.11
Corestation
10.248.39.45</t>
  </si>
  <si>
    <t>CR515,CR516,CR508</t>
  </si>
  <si>
    <t>CR508</t>
  </si>
  <si>
    <t>W0,RLY0,IN0,IN1,OUT0,OUT1</t>
  </si>
  <si>
    <t>CR515</t>
  </si>
  <si>
    <t>CR516</t>
  </si>
  <si>
    <t>RS485,RLY1,IN2,IN3</t>
  </si>
  <si>
    <t>W2,RLY2,IN4,IN5,OUT4,OUT5</t>
  </si>
  <si>
    <t>0017fc4f8540</t>
  </si>
  <si>
    <t>MXP-MIL01A-S1-ACC-ESW03
(ex MXP-N1O1-ACC-ESW03)</t>
  </si>
  <si>
    <t>0017fc6e7498</t>
  </si>
  <si>
    <t>W0,RLY0(NO),IN0,OUT0,OUT1</t>
  </si>
  <si>
    <t>W1,RLY1(NO),IN2,OUT2,OUT3</t>
  </si>
  <si>
    <t>W2,W3,RLY2(NO),IN4,OUT4,OUT5,OUT6,OUT7</t>
  </si>
  <si>
    <t>BM E.02-03 (140.59)</t>
  </si>
  <si>
    <t>BM E.02-02 (140.58)</t>
  </si>
  <si>
    <t>BM-E.02-01 (140.54)</t>
  </si>
  <si>
    <t>BM (10.245.140.58)</t>
  </si>
  <si>
    <t>BM (10.245.140.59)</t>
  </si>
  <si>
    <t>BM E.03-03 (140.60)</t>
  </si>
  <si>
    <t>BM (10.245.140.60)
+ RLY CIT (10.245.140.72)</t>
  </si>
  <si>
    <t>s</t>
  </si>
  <si>
    <t>RLY3,RS485,IN6,IN7</t>
  </si>
  <si>
    <t>Slave RS485 di
 ACP1.1</t>
  </si>
  <si>
    <t>10.248.39.011</t>
  </si>
  <si>
    <t>Porrta 13</t>
  </si>
  <si>
    <t>MXP-MIL1A-S1-ACC-ESW03</t>
  </si>
  <si>
    <t>10.244.35.30</t>
  </si>
  <si>
    <t>10.244.35.31</t>
  </si>
  <si>
    <t>10.244.35.32</t>
  </si>
  <si>
    <t>10.244.35.33</t>
  </si>
  <si>
    <t>Ca5.11</t>
  </si>
  <si>
    <t>10.244.35.34</t>
  </si>
  <si>
    <t>10.244.35.35</t>
  </si>
  <si>
    <t>10.244.35.38</t>
  </si>
  <si>
    <t>10.244.35.39</t>
  </si>
  <si>
    <t>10.244.35.43</t>
  </si>
  <si>
    <t>10.244.35.41</t>
  </si>
  <si>
    <t>10.244.35.40</t>
  </si>
  <si>
    <t>10.244.35.37</t>
  </si>
  <si>
    <t>10.244.35.36</t>
  </si>
  <si>
    <t>BM Enrollo Mil01B</t>
  </si>
  <si>
    <t>10.244.35.42</t>
  </si>
  <si>
    <t>10.248.39.80</t>
  </si>
  <si>
    <t>10.244.4.12</t>
  </si>
  <si>
    <t>10.244.4.13</t>
  </si>
  <si>
    <t>10.244.4.14</t>
  </si>
  <si>
    <t>CR_017B,CR_016B</t>
  </si>
  <si>
    <r>
      <t xml:space="preserve">CR_015B (oracle), </t>
    </r>
    <r>
      <rPr>
        <sz val="12"/>
        <rFont val="Calibri"/>
        <family val="2"/>
        <scheme val="minor"/>
      </rPr>
      <t>CR_013B, CR_014B</t>
    </r>
  </si>
  <si>
    <t>CB_001,CB_002,CB_003</t>
  </si>
  <si>
    <t>CB_008</t>
  </si>
  <si>
    <t>CA_2003,CA_2004,CA_2005,CA_2006</t>
  </si>
  <si>
    <t>CA_2007,CA_2008</t>
  </si>
  <si>
    <r>
      <t>CS40+</t>
    </r>
    <r>
      <rPr>
        <b/>
        <sz val="12"/>
        <color theme="1"/>
        <rFont val="Calibri"/>
        <family val="2"/>
        <scheme val="minor"/>
      </rPr>
      <t>(extra)DM20</t>
    </r>
  </si>
  <si>
    <t>CR_401 (Recom)</t>
  </si>
  <si>
    <t>CR_401,CR_402,CR_04_01,CR_1003</t>
  </si>
  <si>
    <t>84b8 porta 3</t>
  </si>
  <si>
    <t>84bd porta 4</t>
  </si>
  <si>
    <t>4fc3</t>
  </si>
  <si>
    <t>6*</t>
  </si>
  <si>
    <t>8*</t>
  </si>
  <si>
    <t>12*</t>
  </si>
  <si>
    <t>5*</t>
  </si>
  <si>
    <t>2*</t>
  </si>
  <si>
    <t>1*</t>
  </si>
  <si>
    <t>11*</t>
  </si>
  <si>
    <t>14*</t>
  </si>
  <si>
    <t>16*</t>
  </si>
  <si>
    <t>18*</t>
  </si>
  <si>
    <t>17*</t>
  </si>
  <si>
    <t>15*</t>
  </si>
  <si>
    <t>84b8</t>
  </si>
  <si>
    <t>84bd</t>
  </si>
  <si>
    <t>Scorrevole a Vetri</t>
  </si>
  <si>
    <t>Automatica a Vetri</t>
  </si>
  <si>
    <t>Porta Nera tra i Tornelli</t>
  </si>
  <si>
    <t>BG (*solo x presenza)</t>
  </si>
  <si>
    <t>RLY1,W1,W2,OUT2</t>
  </si>
  <si>
    <t>3*</t>
  </si>
  <si>
    <t>4*</t>
  </si>
  <si>
    <t>7*</t>
  </si>
  <si>
    <t>10*</t>
  </si>
  <si>
    <t>BM_I.01-02 (140.57)</t>
  </si>
  <si>
    <t>BM_I01-05 (140.56)</t>
  </si>
  <si>
    <t>BM_E.02-04 (140.55)</t>
  </si>
  <si>
    <t>10.245.140.61</t>
  </si>
  <si>
    <t>Enroll</t>
  </si>
  <si>
    <t>0bf8</t>
  </si>
  <si>
    <t>BM (10.245.140.61)</t>
  </si>
  <si>
    <t>RLY0,IN0</t>
  </si>
  <si>
    <t>Comando Pilomat Uscita</t>
  </si>
  <si>
    <t>*Il Pilomat ci da il suo stato Su IN0, Giu IN1.
A me interessa sapere CHIUSO se SU; quindi monitorizzo solo IN0</t>
  </si>
  <si>
    <t>ACP7-06
Corestation
10.248.39.56</t>
  </si>
  <si>
    <t>CR_6001,CR_6002
(CR07-06_1,CR07-06_2)</t>
  </si>
  <si>
    <t>CR07-06_1</t>
  </si>
  <si>
    <t>CR07-06_2</t>
  </si>
  <si>
    <t>CR07-05_1</t>
  </si>
  <si>
    <t>CR07-05_2</t>
  </si>
  <si>
    <t>CR07-05_3</t>
  </si>
  <si>
    <t>CR07-05_4</t>
  </si>
  <si>
    <t>W2,W3,RLY2(NO),IN4,OUT4,OUT5</t>
  </si>
  <si>
    <t>ACP7.5
10.248.39.55</t>
  </si>
  <si>
    <t>CR07-04_1</t>
  </si>
  <si>
    <t>CR07-04_2</t>
  </si>
  <si>
    <t>CR07-04_4</t>
  </si>
  <si>
    <t>CR_5001,CR_5002,CR5003,CR_5004 (CR07-05_1,CR07-05_2,CR07-05_3,CR07-05_4)</t>
  </si>
  <si>
    <t>ACP7.04</t>
  </si>
  <si>
    <t>ACP7.05</t>
  </si>
  <si>
    <t>ACP7.06</t>
  </si>
  <si>
    <t>CR_GE_2 (CR07-07_1)</t>
  </si>
  <si>
    <t>ACP7.07</t>
  </si>
  <si>
    <t>CR07-07_1</t>
  </si>
  <si>
    <t>CR_3001,CR_3002,CR_3003_CR3004 (C-07-03_1,CR07-03_2,CR07-03_3,CR07-03_4)</t>
  </si>
  <si>
    <t>ACP7.04
Corestation
10.248.39.54</t>
  </si>
  <si>
    <t>ACP7.03
10.248.39.53</t>
  </si>
  <si>
    <t>CR07-03_1</t>
  </si>
  <si>
    <t>CR07-03_2</t>
  </si>
  <si>
    <t>CR07-03_3</t>
  </si>
  <si>
    <t>CR07-03_4</t>
  </si>
  <si>
    <t>542082651
788891570</t>
  </si>
  <si>
    <t>ACP7.03</t>
  </si>
  <si>
    <t>0017fc4f8379</t>
  </si>
  <si>
    <t>0017fc4f84b9</t>
  </si>
  <si>
    <t>W1,RLY1(NO),IN2,IN3,OUT2,OUT3</t>
  </si>
  <si>
    <t>CR1002</t>
  </si>
  <si>
    <t>CR1001</t>
  </si>
  <si>
    <t>CR1000</t>
  </si>
  <si>
    <t>W0,W3,RLY3(NO),IN6,IN7,OUT0,OUT1,OUT6,OUT7</t>
  </si>
  <si>
    <t>CR1001,CR1002(CR-07-04-3)</t>
  </si>
  <si>
    <t>ACP9.01
10.248.39.63</t>
  </si>
  <si>
    <t xml:space="preserve">MXP-MIL01A-S2-ACC-ESW02
(ex MXP-N1S2-ACC-ESW02)
</t>
  </si>
  <si>
    <t>542082372
788891580</t>
  </si>
  <si>
    <t>CR_4001,CR_4002,CR_4003,CR_4004 (CR07-04_1,CR07-04_2,CR07-04_4)</t>
  </si>
  <si>
    <t>W0,RLY0(NO),IN0,IN1,OUT0</t>
  </si>
  <si>
    <t>W0,W1,RLY1,IN1,OUT0,OUT1,OUT3,OUT4</t>
  </si>
  <si>
    <t>CR1004B,CR1005B,CR1012</t>
  </si>
  <si>
    <t>CR1004B</t>
  </si>
  <si>
    <t>CR1005</t>
  </si>
  <si>
    <t>CR1012</t>
  </si>
  <si>
    <t>CancellettoEsterno Amazon</t>
  </si>
  <si>
    <t>AreaBreakRetro</t>
  </si>
  <si>
    <t>UscitaAreaBreakREtro</t>
  </si>
  <si>
    <t xml:space="preserve">BG </t>
  </si>
  <si>
    <t>ACP9.02
10.248.39.64</t>
  </si>
  <si>
    <t>,</t>
  </si>
  <si>
    <t>W2,RLY2,IN4</t>
  </si>
  <si>
    <t>W3,RLY3,IN6</t>
  </si>
  <si>
    <t>W0,W1,RLY0,IN0</t>
  </si>
  <si>
    <t>RLY0,W0,IN0(Cit),OUT0,OUT1</t>
  </si>
  <si>
    <t>RLY1,W1,IN2(Cit),OUT2,OUT3</t>
  </si>
  <si>
    <t>RLY2,W2,IN4(Cit),OUT4,OUT5</t>
  </si>
  <si>
    <t>837e</t>
  </si>
  <si>
    <t>837d</t>
  </si>
  <si>
    <t>837a</t>
  </si>
  <si>
    <t>13ea</t>
  </si>
  <si>
    <t>0be3</t>
  </si>
  <si>
    <t>13e1</t>
  </si>
  <si>
    <t>Equipment Room 07-05 entry</t>
  </si>
  <si>
    <t>Equipment Room 07-05 Entry</t>
  </si>
  <si>
    <t>Equipment Room 07-05 tra le stanze</t>
  </si>
  <si>
    <t>MXP-MIL01A-S2-ACC-ESW02
MXP-N1S2-ACC-ESW02</t>
  </si>
  <si>
    <t xml:space="preserve">542082653
</t>
  </si>
  <si>
    <t>17/05/2024</t>
  </si>
  <si>
    <t>MXP-MIL01A-S2-ACC-ESW02
(ex MXP-N1S2-ACC-ESW02)</t>
  </si>
  <si>
    <t>W0,W1,RLY0(NO),IN0,OUT0,OUT1,OUT2,OUT3</t>
  </si>
  <si>
    <t>W3,RLY3(NO)</t>
  </si>
  <si>
    <t>0017fc4f865d</t>
  </si>
  <si>
    <t>0017fc4f8666</t>
  </si>
  <si>
    <t>0017fc4f853f</t>
  </si>
  <si>
    <t>0017fc4f8657</t>
  </si>
  <si>
    <t>0017fc4f8543</t>
  </si>
  <si>
    <t>ACP7.07
10.248.39.57</t>
  </si>
  <si>
    <t>ACP9_01</t>
  </si>
  <si>
    <t>ACP9_02</t>
  </si>
  <si>
    <t>Cancellino Ribalta</t>
  </si>
  <si>
    <t>0017fc4f865b</t>
  </si>
  <si>
    <t>0017fc4f865e</t>
  </si>
  <si>
    <t>W0,W1,RLY0,IN1,OUT0,OUT1,OUT3,OUT4</t>
  </si>
  <si>
    <t>Equipment Room 07-04 entry</t>
  </si>
  <si>
    <t>Equipment Room Verso 07-03</t>
  </si>
  <si>
    <t>Equipment Room Verso 07-04</t>
  </si>
  <si>
    <t>Recom</t>
  </si>
  <si>
    <t>CR04-07,CR04-08</t>
  </si>
  <si>
    <t>RS485,RLY2,IN4</t>
  </si>
  <si>
    <t>1509
1983</t>
  </si>
  <si>
    <t>ok</t>
  </si>
  <si>
    <t>NON esiste il CM fisicamente</t>
  </si>
  <si>
    <t>CM non va</t>
  </si>
  <si>
    <t xml:space="preserve">CM non va  </t>
  </si>
  <si>
    <t>W0,W1,RLY1,IN0,OUT0,OUT1,OUT3,OUT4</t>
  </si>
  <si>
    <t>UscitaUfficiGen.S3</t>
  </si>
  <si>
    <t>UfficiCiops</t>
  </si>
  <si>
    <t>EntrataUfficiCiops</t>
  </si>
  <si>
    <t>W0,W1,RLY0,IN0,OUT3</t>
  </si>
  <si>
    <t>CM 10k confermato ma non va</t>
  </si>
  <si>
    <t>NC e cm10K sempre aperta</t>
  </si>
  <si>
    <t>cancel</t>
  </si>
  <si>
    <t>ACP8.2</t>
  </si>
  <si>
    <t>ACD8.05</t>
  </si>
  <si>
    <t>1DM20</t>
  </si>
  <si>
    <t>Posso aprire RELE DM20 con BM?</t>
  </si>
  <si>
    <t>ACP7.1
(ex SPC-CA7.1)</t>
  </si>
  <si>
    <t>7N.1,7N.2,7N.3</t>
  </si>
  <si>
    <t>MIL01-C</t>
  </si>
  <si>
    <t>I. 01-05</t>
  </si>
  <si>
    <t>Porta</t>
  </si>
  <si>
    <t>HOUSE POWER 2</t>
  </si>
  <si>
    <t>E. 01-02</t>
  </si>
  <si>
    <t>I. 01-02</t>
  </si>
  <si>
    <t>RECOM</t>
  </si>
  <si>
    <t>I. 01-08</t>
  </si>
  <si>
    <t>Portone 2A battente</t>
  </si>
  <si>
    <t>SHIP.&amp;REC.</t>
  </si>
  <si>
    <t>I. 01-09</t>
  </si>
  <si>
    <t>Tornello Entrata</t>
  </si>
  <si>
    <t>Tornello Uscita</t>
  </si>
  <si>
    <t>I. 01-10</t>
  </si>
  <si>
    <t>STORAGE</t>
  </si>
  <si>
    <t>E. 01-06</t>
  </si>
  <si>
    <t>Proporre :Badge</t>
  </si>
  <si>
    <t>MMR B</t>
  </si>
  <si>
    <t>Non Ha Elettroserratura in ABACO</t>
  </si>
  <si>
    <t>I. 01-07</t>
  </si>
  <si>
    <t>E. 01-05</t>
  </si>
  <si>
    <t>FIRE RISER</t>
  </si>
  <si>
    <t>I. 01-06</t>
  </si>
  <si>
    <t>MMR A</t>
  </si>
  <si>
    <t>I. 02-02</t>
  </si>
  <si>
    <t>HOUSE POWER 1</t>
  </si>
  <si>
    <t>I. 02-03</t>
  </si>
  <si>
    <t>ER BLUE</t>
  </si>
  <si>
    <t>I. 02-04</t>
  </si>
  <si>
    <t>MEP GALLERY DH 1</t>
  </si>
  <si>
    <t>I. 02-05</t>
  </si>
  <si>
    <t>DATA HALL 1</t>
  </si>
  <si>
    <t>I. 02-01</t>
  </si>
  <si>
    <t>ER RED</t>
  </si>
  <si>
    <t>I. 02-06</t>
  </si>
  <si>
    <t>AssaBloy</t>
  </si>
  <si>
    <t>I. 02-07</t>
  </si>
  <si>
    <t>I. 02-08</t>
  </si>
  <si>
    <t>CORRIDOR DH 1-2</t>
  </si>
  <si>
    <t>MEP GALLERY DH 3</t>
  </si>
  <si>
    <t>I. 02-12</t>
  </si>
  <si>
    <t>MEP GALLERY DH 2</t>
  </si>
  <si>
    <t>I. 03-04</t>
  </si>
  <si>
    <t>ACP2.3S</t>
  </si>
  <si>
    <t>Cancellino  area esterna EST</t>
  </si>
  <si>
    <t>I. 02-09</t>
  </si>
  <si>
    <t>ACP2.4</t>
  </si>
  <si>
    <t>E. 03-01</t>
  </si>
  <si>
    <t>I. 03-01</t>
  </si>
  <si>
    <t>E. 02-01</t>
  </si>
  <si>
    <t>I. 03-03</t>
  </si>
  <si>
    <t>DATA HALL 3</t>
  </si>
  <si>
    <t>I. 03-06</t>
  </si>
  <si>
    <t>I. 03-07</t>
  </si>
  <si>
    <t>Tornello IN</t>
  </si>
  <si>
    <t>Tornello OUT</t>
  </si>
  <si>
    <t>I. 03-02</t>
  </si>
  <si>
    <t>ACP2.6</t>
  </si>
  <si>
    <t>I. 03-05</t>
  </si>
  <si>
    <t>I. 02-10</t>
  </si>
  <si>
    <t>DATA HALL 2</t>
  </si>
  <si>
    <t>I. 02-11</t>
  </si>
  <si>
    <t>SSA</t>
  </si>
  <si>
    <t>substationA</t>
  </si>
  <si>
    <t>ACP3.1</t>
  </si>
  <si>
    <t>SSB</t>
  </si>
  <si>
    <t>substationB</t>
  </si>
  <si>
    <t>SSC</t>
  </si>
  <si>
    <t>substationC</t>
  </si>
  <si>
    <t>SSD</t>
  </si>
  <si>
    <t>substationD</t>
  </si>
  <si>
    <t>PMA</t>
  </si>
  <si>
    <t>PowerModuleA</t>
  </si>
  <si>
    <t>ACP3.2</t>
  </si>
  <si>
    <t>E.04-PMB-P1</t>
  </si>
  <si>
    <t>PMB</t>
  </si>
  <si>
    <t>PowerModuleb</t>
  </si>
  <si>
    <t>E.04-PMC-P1</t>
  </si>
  <si>
    <t>PMC</t>
  </si>
  <si>
    <t>PowerModuleC</t>
  </si>
  <si>
    <t>PMD</t>
  </si>
  <si>
    <t>PowerModuleD</t>
  </si>
  <si>
    <t>FLOYD</t>
  </si>
  <si>
    <t>Porta Switch
(* verficato)</t>
  </si>
  <si>
    <t>Cancelletto Substation</t>
  </si>
  <si>
    <t>RLY0,W0,IN0,OUT0</t>
  </si>
  <si>
    <t>1510
1489</t>
  </si>
  <si>
    <t>1501
1562</t>
  </si>
  <si>
    <t>1975
1490
1513</t>
  </si>
  <si>
    <t>MIL01B_ACD1,04&amp;ACD1,05
MIL01B_ACD1,06
MIL01B_ACD1,07</t>
  </si>
  <si>
    <t>MIL01B_ACD1,08&amp;ACD1,09
MIL01B_ACD1,10
MIL01B_ACD1,11</t>
  </si>
  <si>
    <t>ACP4.03
Corestation
10.248.39.xx</t>
  </si>
  <si>
    <t>CR404</t>
  </si>
  <si>
    <t>CR730</t>
  </si>
  <si>
    <t>CR731</t>
  </si>
  <si>
    <t>CR546</t>
  </si>
  <si>
    <t>CR-404,CR731,CR730,CR546</t>
  </si>
  <si>
    <t>CR523</t>
  </si>
  <si>
    <t>CR532</t>
  </si>
  <si>
    <t>CR534</t>
  </si>
  <si>
    <t>542082657
788891492</t>
  </si>
  <si>
    <t>CR01-17,CR01-24,CR01-25</t>
  </si>
  <si>
    <t>CR711,CR729,CR125,CR126</t>
  </si>
  <si>
    <t>ACP5.01
Corestation
10.248.39.29</t>
  </si>
  <si>
    <t>CR711</t>
  </si>
  <si>
    <t>CR729</t>
  </si>
  <si>
    <t>CR125</t>
  </si>
  <si>
    <t>W0,RLY0(NO),S_IN0,OUT0,OUT1</t>
  </si>
  <si>
    <t>MonitorControlRoom</t>
  </si>
  <si>
    <t>Eq.Room07-10</t>
  </si>
  <si>
    <t>W3,RLY3(NO),S_IN6,OUT6,OUT7</t>
  </si>
  <si>
    <t>10k,Pulsante</t>
  </si>
  <si>
    <t>ACP1.05
Corestation
 10.248.39.20</t>
  </si>
  <si>
    <t>ACP1.04
Corestation
 10.248.39.28</t>
  </si>
  <si>
    <t>CR-01-21</t>
  </si>
  <si>
    <t>CR-01-23</t>
  </si>
  <si>
    <t>CR-01-22</t>
  </si>
  <si>
    <t>W0,W1,RLY0,S_IN0,OUT0,OUT1,OUT2,OUT3</t>
  </si>
  <si>
    <t>W2,W3,RLY3,S_IN4,OUT4,OUT5,OUT6,OUT7</t>
  </si>
  <si>
    <t>CS40+
DM20</t>
  </si>
  <si>
    <t>CR401</t>
  </si>
  <si>
    <t>CR1003</t>
  </si>
  <si>
    <t>Pulsante IN1</t>
  </si>
  <si>
    <t>Contatto isolato perche da 24VAC</t>
  </si>
  <si>
    <t>Tensione tra Fase e Terra sul quadro</t>
  </si>
  <si>
    <t>Tensione F /Terra sul quadro</t>
  </si>
  <si>
    <t>RS485(2),RLY2,S_IN4,IN5</t>
  </si>
  <si>
    <t>Pulsante IN5</t>
  </si>
  <si>
    <t>ACP4.01
Corestation
10.248.39.28</t>
  </si>
  <si>
    <t>CR402</t>
  </si>
  <si>
    <t>CR_402 (Recom)</t>
  </si>
  <si>
    <t>RS485(3),RLY3,S_IN6,IN7</t>
  </si>
  <si>
    <t>Pulsanite IN7</t>
  </si>
  <si>
    <t>1.4.1</t>
  </si>
  <si>
    <t>ACP5.06
Corestation
10.248.39.39</t>
  </si>
  <si>
    <t>W1,RLY1,IN2,IN3,OUT2,OUT3</t>
  </si>
  <si>
    <t>W3,RLY2,IN4,IN5,OUT4,OUT5</t>
  </si>
  <si>
    <t>Pulsante IN3</t>
  </si>
  <si>
    <t>ACP5.02
Corestation
10.248.39.31</t>
  </si>
  <si>
    <t>CR-04-02</t>
  </si>
  <si>
    <t>CR-04-03</t>
  </si>
  <si>
    <t>CR-GEn1</t>
  </si>
  <si>
    <t>CR04-02,CR04-03,GEnS1</t>
  </si>
  <si>
    <t>0017fc4f8661</t>
  </si>
  <si>
    <t>W2,W3,RLY3,IN4</t>
  </si>
  <si>
    <t>4,7k</t>
  </si>
  <si>
    <t>4,7k, Pulsante</t>
  </si>
  <si>
    <t>W0,RLY0,S_IN0,IN1,OUT0,OUT1</t>
  </si>
  <si>
    <t>W1,RLY1,S_IN2,IN3,OUT2,OUT3</t>
  </si>
  <si>
    <t>W2,RLY2,S_IN4,IN5,OUT4,OUT5</t>
  </si>
  <si>
    <t>W3,RLY3,S_IN6,IN7,OUT6,OUT7</t>
  </si>
  <si>
    <t>CM NON funziona da controllare</t>
  </si>
  <si>
    <t>BG *Mai andato</t>
  </si>
  <si>
    <t>Cancelletti Esterni</t>
  </si>
  <si>
    <t>Ingresso Receiving</t>
  </si>
  <si>
    <t>CR-01-17</t>
  </si>
  <si>
    <t>CR-01-24</t>
  </si>
  <si>
    <t>CR-01-25</t>
  </si>
  <si>
    <t>542082661
788891576</t>
  </si>
  <si>
    <t>W0,W1,RLY0,IN0,OUT0,OUT1,OUT2,OUT3</t>
  </si>
  <si>
    <t>W2,W3,RLY2,IN4,OUT4,OUT5,OUT6,OUT7</t>
  </si>
  <si>
    <t>W0,W1,RLY0,IN0,OUT0,OUT1,OUT4,OUT5</t>
  </si>
  <si>
    <t>UPS FEED B</t>
  </si>
  <si>
    <t>0017.fc4f.8665</t>
  </si>
  <si>
    <t>ACP1.07
Corestation
10.248.39.22</t>
  </si>
  <si>
    <t>CR734</t>
  </si>
  <si>
    <t>CR735</t>
  </si>
  <si>
    <t>CR736</t>
  </si>
  <si>
    <t>Predisposiozni</t>
  </si>
  <si>
    <t>ACP1.06
10.248.39.21</t>
  </si>
  <si>
    <t>CR734,CR735,CR736 
(Predisposizioni)</t>
  </si>
  <si>
    <t>ACP2.02
Corestation
10.248.39.24</t>
  </si>
  <si>
    <t>CR127,CR543,CR544</t>
  </si>
  <si>
    <t>0017.fc4f.8612</t>
  </si>
  <si>
    <t>CR127</t>
  </si>
  <si>
    <t>CR543</t>
  </si>
  <si>
    <t>CR544</t>
  </si>
  <si>
    <t>W2,W3,RLY2,IN4,OUT4,OUT5,OU6,OUT7</t>
  </si>
  <si>
    <t>ACP2.01
Corestation
10.248.39.23</t>
  </si>
  <si>
    <t>MXP-MIL01A-S1-ACC-ESW01
(MXP-N1S1-ACC-ESW01)</t>
  </si>
  <si>
    <t>CR126(CR-01-27)</t>
  </si>
  <si>
    <t>CR_2001 (CR-07-02-01),CR_2002 (CR-07-02-02),CR_2003 (CR-07-02-03),CR_2004 (CR-07-02-04)</t>
  </si>
  <si>
    <t>BIO 7.22</t>
  </si>
  <si>
    <t>non collegati</t>
  </si>
  <si>
    <t>MXP-MIL01B-S4-ACC-ESW01</t>
  </si>
  <si>
    <t>(D0,D1)(Arancio/BA)(Blu/BB)</t>
  </si>
  <si>
    <t>W0,W1,RLY0,IN0,OUT0*</t>
  </si>
  <si>
    <t>(Badge alimetnazione da uscita serratura)</t>
  </si>
  <si>
    <t>Contatto NC non supervisionato</t>
  </si>
  <si>
    <t>cm 10k</t>
  </si>
  <si>
    <t>ok cm10k</t>
  </si>
  <si>
    <t>cm non Va</t>
  </si>
  <si>
    <t>W1,RLY2,IN2,OUT3</t>
  </si>
  <si>
    <t>ok da verif.cm</t>
  </si>
  <si>
    <t>SERRATURA IN CORTO</t>
  </si>
  <si>
    <t>led tast.int.non va</t>
  </si>
  <si>
    <t>EVACUAZIONE</t>
  </si>
  <si>
    <t>SERRATURA SPANATA ma scatta</t>
  </si>
  <si>
    <t>BIO  7.02</t>
  </si>
  <si>
    <t>10.244.4.11</t>
  </si>
  <si>
    <t>BIO 7.04</t>
  </si>
  <si>
    <t>RS485,RLY0,IN0</t>
  </si>
  <si>
    <t>CM NC</t>
  </si>
  <si>
    <t>ACP-F2.1</t>
  </si>
  <si>
    <t>ACP-F2.2</t>
  </si>
  <si>
    <t>ACP-F2.3</t>
  </si>
  <si>
    <t>ACP-F2.4</t>
  </si>
  <si>
    <t>ACP-F2.5</t>
  </si>
  <si>
    <t>F2.2</t>
  </si>
  <si>
    <t>F2.3</t>
  </si>
  <si>
    <t>F2.1</t>
  </si>
  <si>
    <t>F2.12</t>
  </si>
  <si>
    <t>F2.13</t>
  </si>
  <si>
    <t>F2.14</t>
  </si>
  <si>
    <t>F2.15</t>
  </si>
  <si>
    <t>F2.4</t>
  </si>
  <si>
    <t>F2.5</t>
  </si>
  <si>
    <t>F2.6</t>
  </si>
  <si>
    <t>F2.7</t>
  </si>
  <si>
    <t>F2.8</t>
  </si>
  <si>
    <t>F2.9</t>
  </si>
  <si>
    <t>F2.10</t>
  </si>
  <si>
    <t>F2.11</t>
  </si>
  <si>
    <t>RS485(0),W0,RLY0,IN0,OUT0</t>
  </si>
  <si>
    <t>Substation</t>
  </si>
  <si>
    <t>BIO F2.3</t>
  </si>
  <si>
    <t>BIO F2.4</t>
  </si>
  <si>
    <t>BIO F2.5</t>
  </si>
  <si>
    <t>BIO F2.9</t>
  </si>
  <si>
    <t>F2.1,F2.2,F2.3</t>
  </si>
  <si>
    <t>F2.12,F2.13,F2.14,F2.15</t>
  </si>
  <si>
    <t>F2.4,F2.5</t>
  </si>
  <si>
    <t xml:space="preserve">F2.4 </t>
  </si>
  <si>
    <t xml:space="preserve">F2.5 </t>
  </si>
  <si>
    <t>F2.6,F2.7,F2.8</t>
  </si>
  <si>
    <t>F2.9,F2.10,F2.11</t>
  </si>
  <si>
    <t>ACP5.07
Corestation
10.248.39.41</t>
  </si>
  <si>
    <t>ACP5.08
Corestation
10.248.39.42</t>
  </si>
  <si>
    <t>ACP5.09
Corestation
10.248.39.43</t>
  </si>
  <si>
    <t>CR-547</t>
  </si>
  <si>
    <t>CR519</t>
  </si>
  <si>
    <t>CR528</t>
  </si>
  <si>
    <t>CR529</t>
  </si>
  <si>
    <t>CR531</t>
  </si>
  <si>
    <t>CR530</t>
  </si>
  <si>
    <t>CR514</t>
  </si>
  <si>
    <t>CR511</t>
  </si>
  <si>
    <t>CR512</t>
  </si>
  <si>
    <t>sab 22/06</t>
  </si>
  <si>
    <t>CR528,CR529,CR530,CR531</t>
  </si>
  <si>
    <t>0017FC4F8664</t>
  </si>
  <si>
    <t>0017FC4F8662</t>
  </si>
  <si>
    <t>0017FC4F730e</t>
  </si>
  <si>
    <t>0017FC4F74a1</t>
  </si>
  <si>
    <t>0017FC4F7408</t>
  </si>
  <si>
    <t>0017FC4F8611</t>
  </si>
  <si>
    <t>0017FC4F8613</t>
  </si>
  <si>
    <t>0017FC4F8660</t>
  </si>
  <si>
    <t>0017FC4F8663</t>
  </si>
  <si>
    <t>CR519,CR547</t>
  </si>
  <si>
    <t>CR511,CR512,CR514</t>
  </si>
  <si>
    <t>0017FC4F86B2</t>
  </si>
  <si>
    <t>542082738
788891561</t>
  </si>
  <si>
    <t>CR523,CR532,CR534</t>
  </si>
  <si>
    <t>0017FC4F86B0</t>
  </si>
  <si>
    <t>ACP5.10
Corestation
10.248.39.44</t>
  </si>
  <si>
    <t>CR505</t>
  </si>
  <si>
    <t>CR509</t>
  </si>
  <si>
    <t>CR510</t>
  </si>
  <si>
    <t>ACP5.10</t>
  </si>
  <si>
    <t>ACP5.08</t>
  </si>
  <si>
    <t>ACP5.07</t>
  </si>
  <si>
    <t>ACP5.06</t>
  </si>
  <si>
    <t>865f</t>
  </si>
  <si>
    <t>CR505,CR509,CR510,CR547</t>
  </si>
  <si>
    <t>Bg</t>
  </si>
  <si>
    <t>CR549</t>
  </si>
  <si>
    <t>MIL1C</t>
  </si>
  <si>
    <t>10.248.140.11</t>
  </si>
  <si>
    <t>10.248.140.12</t>
  </si>
  <si>
    <t>10.248.140.13</t>
  </si>
  <si>
    <t>10.248.140.14</t>
  </si>
  <si>
    <t>10.248.140.15</t>
  </si>
  <si>
    <t>10.248.140.16</t>
  </si>
  <si>
    <t>10.248.140.17</t>
  </si>
  <si>
    <t>10.248.140.18</t>
  </si>
  <si>
    <t>10.248.140.19</t>
  </si>
  <si>
    <t>10.248.140.20</t>
  </si>
  <si>
    <t>10.248.140.50</t>
  </si>
  <si>
    <t>10.248.140.51</t>
  </si>
  <si>
    <t>10.248.140.52</t>
  </si>
  <si>
    <t>10.248.140.53</t>
  </si>
  <si>
    <t>10.248.140.54</t>
  </si>
  <si>
    <t>10.248.140.55</t>
  </si>
  <si>
    <t>10.248.140.56</t>
  </si>
  <si>
    <t>10.248.140.57</t>
  </si>
  <si>
    <t>10.248.140.58</t>
  </si>
  <si>
    <t>10.248.140.59</t>
  </si>
  <si>
    <t>10.248.140.60</t>
  </si>
  <si>
    <t>10.248.140.61</t>
  </si>
  <si>
    <t>10.248.140.62</t>
  </si>
  <si>
    <t>10.248.140.63</t>
  </si>
  <si>
    <t>Cancelletto</t>
  </si>
  <si>
    <t>DH 08-05</t>
  </si>
  <si>
    <t>Pump Room A</t>
  </si>
  <si>
    <t>Pump Room B</t>
  </si>
  <si>
    <t>ACP-F2.3
(Etichetta ACP4.4)</t>
  </si>
  <si>
    <t>CR-04-01 (ID245)
Porta aperta da Tastiera</t>
  </si>
  <si>
    <r>
      <t xml:space="preserve">BG + </t>
    </r>
    <r>
      <rPr>
        <b/>
        <sz val="12"/>
        <color theme="1"/>
        <rFont val="Calibri"/>
        <family val="2"/>
      </rPr>
      <t>CIT</t>
    </r>
  </si>
  <si>
    <t>8.05</t>
  </si>
  <si>
    <t>RS485,RLY0,IN0,OUT0</t>
  </si>
  <si>
    <t>10.248.140.21</t>
  </si>
  <si>
    <t>10.244.4.100</t>
  </si>
  <si>
    <t>MXP-MIL01B-S4-ACC-ESW02
(PMC 13 Pump Room A)</t>
  </si>
  <si>
    <t>10.244.4.102</t>
  </si>
  <si>
    <t xml:space="preserve"> </t>
  </si>
  <si>
    <t>Sirena su Held Open Door 15sec. Della porta CAF2.4</t>
  </si>
  <si>
    <t>Sirena su Held Open Door 15sec. Della porta CAF2.5</t>
  </si>
  <si>
    <t>W0,RLY0,IN2,OUT0</t>
  </si>
  <si>
    <t>RS485,W0,RLY0,IN2,OUT0</t>
  </si>
  <si>
    <t>RS485,W1,RLY2,IN6,OUT3</t>
  </si>
  <si>
    <t>W1,RLY2,IN6,OUT3</t>
  </si>
  <si>
    <t>1.7.0</t>
  </si>
  <si>
    <t>cm no</t>
  </si>
  <si>
    <t>**Due Badge su una linea Wiegand</t>
  </si>
  <si>
    <t>RLY3 NO e 12VDC</t>
  </si>
  <si>
    <t>RLY2 NO e 12VDC</t>
  </si>
  <si>
    <t>Tirare Cavo x 2ndo badge</t>
  </si>
  <si>
    <t>ACP5.09</t>
  </si>
  <si>
    <t>ACD5.31</t>
  </si>
  <si>
    <t>ACD5.32</t>
  </si>
  <si>
    <t>ACD5.33</t>
  </si>
  <si>
    <t>ACD5.34</t>
  </si>
  <si>
    <t>ACD5.23</t>
  </si>
  <si>
    <t>ACD5.24</t>
  </si>
  <si>
    <t>ACD5.29</t>
  </si>
  <si>
    <t>ACD5.30</t>
  </si>
  <si>
    <t>ACD5.26</t>
  </si>
  <si>
    <t>ACD5.28</t>
  </si>
  <si>
    <t>ACD5.35</t>
  </si>
  <si>
    <t>ACD5.38</t>
  </si>
  <si>
    <t xml:space="preserve">FLOYD </t>
  </si>
  <si>
    <t>10.244.4.103?</t>
  </si>
  <si>
    <t>10.244.4.104?</t>
  </si>
  <si>
    <t>10.244.4.105?</t>
  </si>
  <si>
    <t>788891582
788891565</t>
  </si>
  <si>
    <t>788891557
788891573</t>
  </si>
  <si>
    <t>788891567
788891586</t>
  </si>
  <si>
    <t>I.02.14</t>
  </si>
  <si>
    <t>I.02.13</t>
  </si>
  <si>
    <t>****Il secondo BG andrebbe tenuto per gestire antiincendio</t>
  </si>
  <si>
    <t>ACP4.1
(SPC-CA4.1)</t>
  </si>
  <si>
    <t>ACP7.1 (SPC-CA7.1)</t>
  </si>
  <si>
    <t>ACP-F2.1 (SPC-CAF2.1)</t>
  </si>
  <si>
    <r>
      <rPr>
        <b/>
        <sz val="11"/>
        <rFont val="Calibri"/>
        <family val="2"/>
      </rPr>
      <t>ACP4.1</t>
    </r>
    <r>
      <rPr>
        <b/>
        <sz val="12"/>
        <color theme="1"/>
        <rFont val="Calibri"/>
        <family val="2"/>
        <scheme val="minor"/>
      </rPr>
      <t xml:space="preserve"> (SPC-CA4.1)</t>
    </r>
  </si>
  <si>
    <t>ACP7.10 (SPC-CA7.1)</t>
  </si>
  <si>
    <t>Plenium</t>
  </si>
  <si>
    <t>Entry Monitoring 01-11</t>
  </si>
  <si>
    <t>Entry Eq.Room 01-10</t>
  </si>
  <si>
    <t>VUOTO</t>
  </si>
  <si>
    <t>ACD2.13 (5.13)</t>
  </si>
  <si>
    <t>Qualche dubbio con ACP5.09 che ha un cavo noke Sparkle</t>
  </si>
  <si>
    <t>BM 5.26</t>
  </si>
  <si>
    <t>ACD5.37</t>
  </si>
  <si>
    <t>E.01-02</t>
  </si>
  <si>
    <t>I.01-08</t>
  </si>
  <si>
    <t>I Dispositivi sono tutti RS485 Suprema</t>
  </si>
  <si>
    <t>XXX</t>
  </si>
  <si>
    <t>E.02.02</t>
  </si>
  <si>
    <t xml:space="preserve">E-03.01 </t>
  </si>
  <si>
    <t>NON usato; Esiste fisicamente un BOX ma è vuoto.</t>
  </si>
  <si>
    <t>Cancellino SubStation</t>
  </si>
  <si>
    <t>manca trex</t>
  </si>
  <si>
    <t>PilomatEntrySU</t>
  </si>
  <si>
    <t>PilomatEntryGIU</t>
  </si>
  <si>
    <t>PilomatExitSU</t>
  </si>
  <si>
    <t>PilomatExitGIU</t>
  </si>
  <si>
    <t>SlidingDoor Esterna</t>
  </si>
  <si>
    <t>SlidingDoor Interna</t>
  </si>
  <si>
    <t>Noc01-13</t>
  </si>
  <si>
    <t>ElecRoom01.07</t>
  </si>
  <si>
    <t>BreakArea01.11</t>
  </si>
  <si>
    <t>MechRoom01.06</t>
  </si>
  <si>
    <t>StackMeeting01.05</t>
  </si>
  <si>
    <t>StackOffice01.04</t>
  </si>
  <si>
    <t>BackSecom01.03</t>
  </si>
  <si>
    <t>Secom01.02</t>
  </si>
  <si>
    <t>PortaEXT_DH_NO</t>
  </si>
  <si>
    <t>MEP Gallery 02-02</t>
  </si>
  <si>
    <t>Corridor 02-01</t>
  </si>
  <si>
    <t>Corridor 02-16</t>
  </si>
  <si>
    <t>PortaEXT_DH_SO</t>
  </si>
  <si>
    <t>Corridor 02-15</t>
  </si>
  <si>
    <t>PortaEXT_DH_SE</t>
  </si>
  <si>
    <t>MEP Gallery 02-07</t>
  </si>
  <si>
    <t>Corridor 02-08</t>
  </si>
  <si>
    <t>PortaEXT_DH_NE</t>
  </si>
  <si>
    <t>StackStorage 03-05</t>
  </si>
  <si>
    <t>Receiving 03-06</t>
  </si>
  <si>
    <t>Ciops 03-09</t>
  </si>
  <si>
    <t>PortaEXT_RETRO_SUD</t>
  </si>
  <si>
    <t>IDF A</t>
  </si>
  <si>
    <t>Corridor 02-14</t>
  </si>
  <si>
    <t>MMR B 03-02</t>
  </si>
  <si>
    <t>IDF B 03-03</t>
  </si>
  <si>
    <t>House Power 03-10</t>
  </si>
  <si>
    <t>Fire Raiser</t>
  </si>
  <si>
    <t>SubStation"A"_PT</t>
  </si>
  <si>
    <t>SubStation"A"_P1</t>
  </si>
  <si>
    <t>SubStation"B"_PT</t>
  </si>
  <si>
    <t>SubStation"B"_P1</t>
  </si>
  <si>
    <t>SubStation"X"_PT</t>
  </si>
  <si>
    <t>SubStation"X"_P1</t>
  </si>
  <si>
    <t>SubStation"C"_PT</t>
  </si>
  <si>
    <t>SubStation"C"_P1</t>
  </si>
  <si>
    <t>SubStation"D"_PT</t>
  </si>
  <si>
    <t>SubStation"D"_P1</t>
  </si>
  <si>
    <t>SubStation"X2"_PT</t>
  </si>
  <si>
    <t>SubStation"X2"_P1</t>
  </si>
  <si>
    <t>Cancello-EntryCAR</t>
  </si>
  <si>
    <t>Pedonale-Esterno</t>
  </si>
  <si>
    <t>Cancello-EXITCAR</t>
  </si>
  <si>
    <t>Cancello_WaterTReatment</t>
  </si>
  <si>
    <t>Serie da
ACP7.1</t>
  </si>
  <si>
    <t>Serie da
ACP7.7</t>
  </si>
  <si>
    <t>Serie da
ACP7.6</t>
  </si>
  <si>
    <t>Serie da
ACP7.4</t>
  </si>
  <si>
    <t>Serie da
ACP7.5</t>
  </si>
  <si>
    <t>Serie da
ACP7.3</t>
  </si>
  <si>
    <t>Serie da
ACP7.8</t>
  </si>
  <si>
    <t>Serie da
ACP7.2</t>
  </si>
  <si>
    <t>Serie da
ACP8.3</t>
  </si>
  <si>
    <t>CR807,CR805,CR806</t>
  </si>
  <si>
    <t>ACP5.14(CA5_14)</t>
  </si>
  <si>
    <t>Tornello Centrale  + porta ingresso</t>
  </si>
  <si>
    <t>ACP5.15(CA5_15)</t>
  </si>
  <si>
    <t>CR807</t>
  </si>
  <si>
    <t>CR806</t>
  </si>
  <si>
    <t>PortaNearTornello DX</t>
  </si>
  <si>
    <t>Tonrello SX</t>
  </si>
  <si>
    <t>PortaNearTornello SX</t>
  </si>
  <si>
    <t>Tornelllo centrale</t>
  </si>
  <si>
    <t>CR538</t>
  </si>
  <si>
    <t>CR407</t>
  </si>
  <si>
    <t>DataHall Mil10A settore 2</t>
  </si>
  <si>
    <t>Carrai</t>
  </si>
  <si>
    <t>ACP5.15
Corestation
10.248.39.49</t>
  </si>
  <si>
    <t>CR05-03</t>
  </si>
  <si>
    <t>CR05-04</t>
  </si>
  <si>
    <t>W1,RLY1,IN2,IN3,OUT2</t>
  </si>
  <si>
    <t>Cancelletto PowerModule</t>
  </si>
  <si>
    <t>13/'09/24</t>
  </si>
  <si>
    <t>Manteinance 06-02</t>
  </si>
  <si>
    <t>CR05-03,CR-05-04,Pedonale</t>
  </si>
  <si>
    <t>Pedonale</t>
  </si>
  <si>
    <t>MXP-MIL01A-S1-ACC-ESW05</t>
  </si>
  <si>
    <t>0017fc4f8484</t>
  </si>
  <si>
    <t>Pulsante IN2</t>
  </si>
  <si>
    <t>(4.7K IN0)</t>
  </si>
  <si>
    <t>(4.7K IN4)</t>
  </si>
  <si>
    <t>non va mai; esiste?</t>
  </si>
  <si>
    <t xml:space="preserve">MXP-MIL01B-S3-ACC-ESW01
</t>
  </si>
  <si>
    <t>10.244.35.19</t>
  </si>
  <si>
    <t>BM 4.02</t>
  </si>
  <si>
    <t>ok da verif.cm + led</t>
  </si>
  <si>
    <t>ACD1.01,ACD4.02,ACD4.03,ACD4.04</t>
  </si>
  <si>
    <t>ACD4.01,ACD4.06,ACD,4.07,ACD4.08</t>
  </si>
  <si>
    <t>BM 4.06 (12vdc)</t>
  </si>
  <si>
    <t>BM 4.08 (12vdc)</t>
  </si>
  <si>
    <t>BM 4.07 (12vdc)</t>
  </si>
  <si>
    <t>MIL01B_ACD1.01,</t>
  </si>
  <si>
    <t>10.244.35.16</t>
  </si>
  <si>
    <t>provata 10kH</t>
  </si>
  <si>
    <t>RS485,RLY1,ISIN1</t>
  </si>
  <si>
    <t>Provato 4.7K</t>
  </si>
  <si>
    <t>NON va CM con nessun Res.</t>
  </si>
  <si>
    <t>788891506
788891488</t>
  </si>
  <si>
    <t>788891494
788891495</t>
  </si>
  <si>
    <t>788891500
788891505</t>
  </si>
  <si>
    <t>788891493
788891515</t>
  </si>
  <si>
    <t>ACD5.29,ACD5.30,ACD4.05</t>
  </si>
  <si>
    <t>ACD5.25,ACD5.24,ACD5.23</t>
  </si>
  <si>
    <t>ACD5.32,ACD5.34,ACD5.33,ACD5.31</t>
  </si>
  <si>
    <t>Contatto NC non va</t>
  </si>
  <si>
    <t>Provato4.7k</t>
  </si>
  <si>
    <t>nome adesso</t>
  </si>
  <si>
    <t>nome reale</t>
  </si>
  <si>
    <t>Provato 10k</t>
  </si>
  <si>
    <t>ACD5.36</t>
  </si>
  <si>
    <t>Provato 10k ma no led</t>
  </si>
  <si>
    <t>Magazzino</t>
  </si>
  <si>
    <t>NO HA IL CM</t>
  </si>
  <si>
    <t>W1,RLY2,IN4,OUT3(no)OUT4(no)</t>
  </si>
  <si>
    <t>RS485,RLY1,IN1</t>
  </si>
  <si>
    <t>Provato 4,7</t>
  </si>
  <si>
    <t>Provato NC</t>
  </si>
  <si>
    <t>NON ESISTE IL CAVO</t>
  </si>
  <si>
    <t>Trigger Held open door F2.4 su RLY3 del DMxxx563</t>
  </si>
  <si>
    <t>Trigger Held open door F2.5 su RLY3 del DMxxx563</t>
  </si>
  <si>
    <t>Prvoato N C</t>
  </si>
  <si>
    <t>Serie da 
ACP4.1</t>
  </si>
  <si>
    <t>ID PORTA
Biostar</t>
  </si>
  <si>
    <t>ID 321</t>
  </si>
  <si>
    <t>ID 306</t>
  </si>
  <si>
    <t>ReceivingFloyd CIT</t>
  </si>
  <si>
    <t>ID 301</t>
  </si>
  <si>
    <t>ID Porta
Biostar</t>
  </si>
  <si>
    <t>ID 309</t>
  </si>
  <si>
    <t>PedonaleSud  L1A</t>
  </si>
  <si>
    <t>Recom Mil1B Ingresso</t>
  </si>
  <si>
    <t>ID 313</t>
  </si>
  <si>
    <t>ACD2.13,ACD5.26,ACD5.28</t>
  </si>
  <si>
    <t>ACD5.35,ACD5.36,ACD5.37,ACD5.38</t>
  </si>
  <si>
    <t>Porta Ingresso Principale</t>
  </si>
  <si>
    <t>BM Enrollo Suprema</t>
  </si>
  <si>
    <t>MXP-MIL01A-S1-ACC-ESW03</t>
  </si>
  <si>
    <t>BM 12vdc</t>
  </si>
  <si>
    <t>0017fc4f8541</t>
  </si>
  <si>
    <t>WO,RS485,RLY(0)IN,RLY(2)EXIT,OUT0</t>
  </si>
  <si>
    <t>CM 4.7K</t>
  </si>
  <si>
    <t>W1,RS485(1),RLY1(NO),S_IN2,OUT2</t>
  </si>
  <si>
    <t>W2,W3,RLY(3),S_IN4,OUT4,OUT5</t>
  </si>
  <si>
    <t>1.8.0</t>
  </si>
  <si>
    <t>WO,RS485,RLY(0)IN,RLY(2)EXIT</t>
  </si>
  <si>
    <t>W1,RS485(1),RLY1(NO),S_IN2</t>
  </si>
  <si>
    <t>I.01-10</t>
  </si>
  <si>
    <t>I.01-07</t>
  </si>
  <si>
    <t>I.01-06</t>
  </si>
  <si>
    <t>I.02-05</t>
  </si>
  <si>
    <t>I.02-01</t>
  </si>
  <si>
    <t>I.02-06</t>
  </si>
  <si>
    <t>I.03-04</t>
  </si>
  <si>
    <t>Ingresso Laterale NORD</t>
  </si>
  <si>
    <t>E.03-02</t>
  </si>
  <si>
    <t>Cancellino EST</t>
  </si>
  <si>
    <t>I.02-09</t>
  </si>
  <si>
    <t>I.03-01</t>
  </si>
  <si>
    <t>Ingresso Laterale SUD</t>
  </si>
  <si>
    <t>I.03-03</t>
  </si>
  <si>
    <t>I.03-06</t>
  </si>
  <si>
    <t>I.03-07 Torenello IN</t>
  </si>
  <si>
    <t>I.03-07 Torenello OUT</t>
  </si>
  <si>
    <t>I.03-02</t>
  </si>
  <si>
    <t>I.03-05</t>
  </si>
  <si>
    <t>I.02-10</t>
  </si>
  <si>
    <t>RS485(0),RLY0,IN0,IN1</t>
  </si>
  <si>
    <t>RS485(1)),RLY1,IN2,IN3</t>
  </si>
  <si>
    <t>RS485(2),RLY2,IN4,IN5</t>
  </si>
  <si>
    <t>Serie RS485(3),RLY3,IN6,IN7</t>
  </si>
  <si>
    <t>RS485(0),RLY0</t>
  </si>
  <si>
    <t>RS485(3),RLY3,IN6,IN7</t>
  </si>
  <si>
    <t>SerieRS485(1)),RLY1,IN2,IN3</t>
  </si>
  <si>
    <t>SerieRS485(3),RLY3,IN6,IN7</t>
  </si>
  <si>
    <t>SerieRS485(2),RLY2,IN4,IN5</t>
  </si>
  <si>
    <t>-- RS485 -- DM20 RLY(0),IN2,IN3</t>
  </si>
  <si>
    <t>ASSABLOY 12VDC</t>
  </si>
  <si>
    <t>Porta Landing Area CITOFONO</t>
  </si>
  <si>
    <t>CIT su IN3 / non collego il maniglione</t>
  </si>
  <si>
    <t>ACP5.14</t>
  </si>
  <si>
    <t>ACD5.01</t>
  </si>
  <si>
    <t>ACD5.06</t>
  </si>
  <si>
    <t>ACD5.07</t>
  </si>
  <si>
    <t>ACD5.08</t>
  </si>
  <si>
    <t>ACD5.09</t>
  </si>
  <si>
    <t>ACD5.10</t>
  </si>
  <si>
    <t>ACD5.12</t>
  </si>
  <si>
    <t>ACD5.13</t>
  </si>
  <si>
    <t>ACD5.14</t>
  </si>
  <si>
    <t>ACD5.15</t>
  </si>
  <si>
    <t>ACD5.16</t>
  </si>
  <si>
    <t>ACD5.17</t>
  </si>
  <si>
    <t>ACD5.18</t>
  </si>
  <si>
    <t>ACD5.19</t>
  </si>
  <si>
    <t>ACD5.20</t>
  </si>
  <si>
    <t>ACD5.21</t>
  </si>
  <si>
    <t>ACD5.22</t>
  </si>
  <si>
    <t>CS</t>
  </si>
  <si>
    <t>CR-G1-Gate</t>
  </si>
  <si>
    <t>CR G2-Gate</t>
  </si>
  <si>
    <t>CR G1-Ped</t>
  </si>
  <si>
    <t>Pulsante</t>
  </si>
  <si>
    <t>Pulsanti: Pedonale1,Pedonale2,Carrabile1,Carrabile2+Pilomat</t>
  </si>
  <si>
    <t>ACP5.16
Corestation
10.248.39.50</t>
  </si>
  <si>
    <t>ACP5.17
Corestation
10.248.39.51</t>
  </si>
  <si>
    <t>CR001B,CR002B,CR003B,CR004B</t>
  </si>
  <si>
    <t>CR005B,lagrasta,breakarea,meetingroom</t>
  </si>
  <si>
    <t>CR006B,rossi,CR008B,CR009B</t>
  </si>
  <si>
    <t>RS485,RLY0</t>
  </si>
  <si>
    <t>W0,W1,RLY0,IN0,OUT0,OUT1</t>
  </si>
  <si>
    <t>Cage_ORACLE (1 sola porta) + Sirena</t>
  </si>
  <si>
    <t>Lift</t>
  </si>
  <si>
    <t>Verso DH SX</t>
  </si>
  <si>
    <t>Ingresoo Principale</t>
  </si>
  <si>
    <t>Porta laterale Tornello</t>
  </si>
  <si>
    <t>RS485,W0,RLY0,IN0,OUT0</t>
  </si>
  <si>
    <t>W1,RLY2,IN4,OUT4</t>
  </si>
  <si>
    <t>W1,RLY2,OUT1</t>
  </si>
  <si>
    <t>E.01-01</t>
  </si>
  <si>
    <t>BM (Slave ACP2.4)</t>
  </si>
  <si>
    <t>CR001B</t>
  </si>
  <si>
    <t>CR002B</t>
  </si>
  <si>
    <t>CR003B</t>
  </si>
  <si>
    <t>CR004B</t>
  </si>
  <si>
    <t>CR005B</t>
  </si>
  <si>
    <t>CR006B</t>
  </si>
  <si>
    <t>CR008B</t>
  </si>
  <si>
    <t>CR009B</t>
  </si>
  <si>
    <t>CR_015B (oracle)</t>
  </si>
  <si>
    <t>CR_013B</t>
  </si>
  <si>
    <t>CR_014B</t>
  </si>
  <si>
    <t>CageOracle</t>
  </si>
  <si>
    <t>BP</t>
  </si>
  <si>
    <t>CR010B</t>
  </si>
  <si>
    <t>CR011B</t>
  </si>
  <si>
    <t>CR012B</t>
  </si>
  <si>
    <t>PianoPrimo : Room 05.1-13.3
Meeting Room</t>
  </si>
  <si>
    <t>PianoPrimo : Room 05.1-13.6
(ex Lagrasta)</t>
  </si>
  <si>
    <t>PianoPrimo : Room 05.1-14
(ex CIOPS)</t>
  </si>
  <si>
    <t>PianoPrimo : Room 05.1-13.5
(Academy "AreaBreak")</t>
  </si>
  <si>
    <t>ACP5.02B
Corestation
10.248.39.32</t>
  </si>
  <si>
    <t>MXP-MIL01A-S2-ACC-ESW02
(ex MXP-N1O1-ACC-ESW02)</t>
  </si>
  <si>
    <t>W0,RLY0,IN0,IN1</t>
  </si>
  <si>
    <t>W1,RLY1,IN2,IN3</t>
  </si>
  <si>
    <t>W2,RLY2,S_IN4,IN5</t>
  </si>
  <si>
    <t>W3,RLY3,S_IN6,IN7</t>
  </si>
  <si>
    <t>Pulsante 7</t>
  </si>
  <si>
    <t>ACP5.01B
Corestation
10.248.39.30</t>
  </si>
  <si>
    <t>PianoPrimo : Room 05.1-17
(CEO Office)</t>
  </si>
  <si>
    <t>PianoPrimo : Room 05.1-15</t>
  </si>
  <si>
    <t>PianoPrimo : Room 05.1-16</t>
  </si>
  <si>
    <t>W0,RLY0,S_IN0,IN1</t>
  </si>
  <si>
    <t>W1,RLY1,S_IN2,IN3</t>
  </si>
  <si>
    <t>ACP5.03B
Corestation
10.248.39.34</t>
  </si>
  <si>
    <t>CR017B</t>
  </si>
  <si>
    <t>PianoPrimo : Corridor</t>
  </si>
  <si>
    <t>PianoPrimo : Room 05.1-13</t>
  </si>
  <si>
    <t>CR007B</t>
  </si>
  <si>
    <t>ACP5.06B
Corestation
10.248.39.40</t>
  </si>
  <si>
    <t>CR016B</t>
  </si>
  <si>
    <t>PianoPrimo : Room 05.1-13
(uff.Rossi)</t>
  </si>
  <si>
    <t>Piano Primo : Room 05.1-13.8</t>
  </si>
  <si>
    <t>PianoPrimo : Room 05.1-13.7</t>
  </si>
  <si>
    <t>0017FC4F8610</t>
  </si>
  <si>
    <t>0017FC4F8486</t>
  </si>
  <si>
    <t>PianoPrimo : Room 05.1-13
(Scai)</t>
  </si>
  <si>
    <t>ID 338</t>
  </si>
  <si>
    <t>ACP5.05B
Corestation
10.248.39.38</t>
  </si>
  <si>
    <t>(Sirena RLY1 per HOLD door 1m)</t>
  </si>
  <si>
    <t xml:space="preserve">CR407,CR538,CR5XX,Ascrensore </t>
  </si>
  <si>
    <t>ACP5.04B
Corestation
10.248.39.36</t>
  </si>
  <si>
    <t>BP 865904143</t>
  </si>
  <si>
    <t>BP Badge+PIN  (rev.2 FW HID)</t>
  </si>
  <si>
    <t>XPD2-GKDB</t>
  </si>
  <si>
    <t>CR G1-GATE, CR G2-GATE, CR-G1-PED, Pilomat</t>
  </si>
  <si>
    <t>ped.interno</t>
  </si>
  <si>
    <t>ID 365</t>
  </si>
  <si>
    <t>ID 366</t>
  </si>
  <si>
    <t>ID367</t>
  </si>
  <si>
    <t>scorr.entrata</t>
  </si>
  <si>
    <t>scorr.uscita</t>
  </si>
  <si>
    <t>Media Converter Fibra Rame</t>
  </si>
  <si>
    <t>MXP-MIL01A-S2-ACC-ESW01</t>
  </si>
  <si>
    <t>ACP8.02
Corestation
10.248.39.59</t>
  </si>
  <si>
    <t>W2,W3,RLY2,IN4</t>
  </si>
  <si>
    <t>ID369</t>
  </si>
  <si>
    <t>ID370</t>
  </si>
  <si>
    <t>Da sala riunioni a DH</t>
  </si>
  <si>
    <t>ACP7.01
Corestation
10.248.39.52</t>
  </si>
  <si>
    <t>CR07-02-1</t>
  </si>
  <si>
    <t>CR07-02-2</t>
  </si>
  <si>
    <t>CR07-02-3</t>
  </si>
  <si>
    <t>CR07-02-4</t>
  </si>
  <si>
    <t>W1,RLY1,IN2</t>
  </si>
  <si>
    <t>ACP7.01</t>
  </si>
  <si>
    <t>ACP5_16</t>
  </si>
  <si>
    <t>CM con Tensione</t>
  </si>
  <si>
    <t>Pulsante IN7</t>
  </si>
  <si>
    <t>CM Semrpe aperto</t>
  </si>
  <si>
    <t>ACP5.03</t>
  </si>
  <si>
    <t>ACP5.04</t>
  </si>
  <si>
    <t>ACP5.05</t>
  </si>
  <si>
    <t>t.rex</t>
  </si>
  <si>
    <t>Cancellino Substation Ribalta</t>
  </si>
  <si>
    <t>RLY3,W3,IN7</t>
  </si>
  <si>
    <t>Canc.Subst.Ribalta</t>
  </si>
  <si>
    <t>10.244.35.20</t>
  </si>
  <si>
    <t>BM 5.02</t>
  </si>
  <si>
    <t>BM 5.04</t>
  </si>
  <si>
    <t>BM 5.03</t>
  </si>
  <si>
    <t>BM 5.07</t>
  </si>
  <si>
    <t>BM 5.06</t>
  </si>
  <si>
    <t>BM 5.09</t>
  </si>
  <si>
    <t>BM 5.10</t>
  </si>
  <si>
    <t>MXP-MIL01B-S3-ACC-ESW02
(MXP-N2S3-ACC-ESW02)</t>
  </si>
  <si>
    <t>ACP5.01 (SPC-CA5.1)
*cavo rete con nome 6.1*</t>
  </si>
  <si>
    <t>ACD_FL1</t>
  </si>
  <si>
    <t>ACD_FL0</t>
  </si>
  <si>
    <t>RS485,RLY1</t>
  </si>
  <si>
    <t>W1,RLY3,OUT1</t>
  </si>
  <si>
    <t>QUADRO VECCHIO DISMESSO (RS485 byoas)</t>
  </si>
  <si>
    <t>RS485(2),RLY2,IN4</t>
  </si>
  <si>
    <t>RS485(3),RL3,IN6</t>
  </si>
  <si>
    <t>BM_FL1</t>
  </si>
  <si>
    <t>BM_FL0</t>
  </si>
  <si>
    <t>ACD_Fl1</t>
  </si>
  <si>
    <t>Sirena OUT4</t>
  </si>
  <si>
    <t>Sirena OUT6</t>
  </si>
  <si>
    <t>ACD_FL2</t>
  </si>
  <si>
    <t>RLY3,IN4</t>
  </si>
  <si>
    <t>BM_FL2</t>
  </si>
  <si>
    <t>ACD5.18A</t>
  </si>
  <si>
    <t>W0,RLY1,IN2,OUT0</t>
  </si>
  <si>
    <t>RS485(1),RLY0,IN0,OUT2</t>
  </si>
  <si>
    <t>Ok 10k</t>
  </si>
  <si>
    <t>ok NC</t>
  </si>
  <si>
    <t>W1,RLY0,OUT1</t>
  </si>
  <si>
    <t>ok CM da provare</t>
  </si>
  <si>
    <t>788891514
788893241</t>
  </si>
  <si>
    <t>MainTrap</t>
  </si>
  <si>
    <t>Secom</t>
  </si>
  <si>
    <t>FLoyd1</t>
  </si>
  <si>
    <t>Cloudfare</t>
  </si>
  <si>
    <t>uffici</t>
  </si>
  <si>
    <t>Ultima Porta Uffici verso Retro</t>
  </si>
  <si>
    <t>0017.fc4f.86b3</t>
  </si>
  <si>
    <t>0017.fc6f.13dd</t>
  </si>
  <si>
    <t>0017.fc6f.13e5</t>
  </si>
  <si>
    <t>0017.fc6f.13e0</t>
  </si>
  <si>
    <t>0017.fc6f.13de</t>
  </si>
  <si>
    <t>0017.fc4f.8480</t>
  </si>
  <si>
    <t>0017.fc6e.dfd2</t>
  </si>
  <si>
    <t>?</t>
  </si>
  <si>
    <t>0017.fc6e.dfd7</t>
  </si>
  <si>
    <t>0017.fc6e.dfd9</t>
  </si>
  <si>
    <t>0017.fc6e.dfd4</t>
  </si>
  <si>
    <t>0017.fc4f.8608</t>
  </si>
  <si>
    <t>0017.fc6e.dfdf</t>
  </si>
  <si>
    <t>0017.fc6e.dfe1</t>
  </si>
  <si>
    <t>0017.fc6e.dfe0</t>
  </si>
  <si>
    <t>0017.fc6e.dfd5</t>
  </si>
  <si>
    <t>0017.fc6e.dfde</t>
  </si>
  <si>
    <t>0017.fc6e.dfdd</t>
  </si>
  <si>
    <t>0017.fc6e.dfd0</t>
  </si>
  <si>
    <t>DEVO RECUPERARE LE INFORMAZIONI</t>
  </si>
  <si>
    <t>***Su OUT usato TTL/Rele di Fede
Held Open 30S</t>
  </si>
  <si>
    <t>***Su OUT usato TTL/Rele di Fede
Held Open 30s</t>
  </si>
  <si>
    <t>Uffio Construction</t>
  </si>
  <si>
    <t>Tornello SX IN</t>
  </si>
  <si>
    <t>Tornello SX OUT</t>
  </si>
  <si>
    <t>Tornello Centrale IN</t>
  </si>
  <si>
    <t>Tornello Centrale OUT</t>
  </si>
  <si>
    <t>Tornello DX IN</t>
  </si>
  <si>
    <t>Tornello DX OUT</t>
  </si>
  <si>
    <t>Serie da 
ACP4.2</t>
  </si>
  <si>
    <t>Serie da 
ACP4.3</t>
  </si>
  <si>
    <t>Serie da 
ACP5.13</t>
  </si>
  <si>
    <t>Serie da 
ACP5.09</t>
  </si>
  <si>
    <t>Serie da 
ACP5.11</t>
  </si>
  <si>
    <t>Serie da 
ACP5.01</t>
  </si>
  <si>
    <t>Serie da 
ACP5.02</t>
  </si>
  <si>
    <t>Serie da 
ACP5.03</t>
  </si>
  <si>
    <t>Serie da 
ACP5.04</t>
  </si>
  <si>
    <t>Serie da 
ACP5.06</t>
  </si>
  <si>
    <t>Serie da 
ACP5.07</t>
  </si>
  <si>
    <t>ACP6.01</t>
  </si>
  <si>
    <t>ACP6.02</t>
  </si>
  <si>
    <t>ACD6.04</t>
  </si>
  <si>
    <t>ACD6.05</t>
  </si>
  <si>
    <t>Entrata Cancello Mil01b</t>
  </si>
  <si>
    <t>Uscita Cancello MIL01B</t>
  </si>
  <si>
    <t>xxxxx</t>
  </si>
  <si>
    <t>ACD6.01</t>
  </si>
  <si>
    <t>ACD6.02</t>
  </si>
  <si>
    <t>ACD6.03</t>
  </si>
  <si>
    <t>Canc.Manteincance</t>
  </si>
  <si>
    <t>Canc. SouthFire Riser</t>
  </si>
  <si>
    <t>Ingresso Perdonale MIl01B</t>
  </si>
  <si>
    <t>W1,RL1,IN2,OUT2</t>
  </si>
  <si>
    <t>RLY0</t>
  </si>
  <si>
    <t>RLY2</t>
  </si>
  <si>
    <t>ven8/11</t>
  </si>
  <si>
    <t>AreaBreak Uffici</t>
  </si>
  <si>
    <t>Scala centrale x Piano2</t>
  </si>
  <si>
    <t>Office 05-23 (Mattioli)</t>
  </si>
  <si>
    <t>W2,RLY2,IN4,IN5</t>
  </si>
  <si>
    <t xml:space="preserve">Pulsante </t>
  </si>
  <si>
    <t>Pulsanti non vanno</t>
  </si>
  <si>
    <t>AC05.05
Corestation
10.248.39.37</t>
  </si>
  <si>
    <t>CR533</t>
  </si>
  <si>
    <t>CR536</t>
  </si>
  <si>
    <t>CR537</t>
  </si>
  <si>
    <t>CR545</t>
  </si>
  <si>
    <t>Netops Room</t>
  </si>
  <si>
    <t>IDF</t>
  </si>
  <si>
    <t>Storage</t>
  </si>
  <si>
    <t>Ciops Room</t>
  </si>
  <si>
    <t>W2,RLY2,IN6,IN5</t>
  </si>
  <si>
    <t>W3,RLY3,IN4,IN7</t>
  </si>
  <si>
    <t>MXP-MIL01A-S1-REC-ESW01</t>
  </si>
  <si>
    <t>ACP5.03
Corestation
10.248.39.33</t>
  </si>
  <si>
    <t>CR501</t>
  </si>
  <si>
    <t>ACP5.04
Corestation
10.248.39.35</t>
  </si>
  <si>
    <t>Ascendore</t>
  </si>
  <si>
    <t>CR539</t>
  </si>
  <si>
    <t>Serie da 
ACP6.01</t>
  </si>
  <si>
    <t>Pilomat IN Carraio Mil01B</t>
  </si>
  <si>
    <t>Pilomat OUT Carraio Mil01B</t>
  </si>
  <si>
    <t>Pilomat SU - Contatto Pulito</t>
  </si>
  <si>
    <t>Pilomat GIU - Contatto Pulito</t>
  </si>
  <si>
    <t>W1,RLY2,IN2,OUT4</t>
  </si>
  <si>
    <t>ACD5.11</t>
  </si>
  <si>
    <t>1 Core</t>
  </si>
  <si>
    <t xml:space="preserve">TMC5F - MepGallery </t>
  </si>
  <si>
    <t>BM E02.01</t>
  </si>
  <si>
    <t>BM E03.01</t>
  </si>
  <si>
    <t>BM E02.10</t>
  </si>
  <si>
    <t>BM E02.02</t>
  </si>
  <si>
    <t>BM E03.02</t>
  </si>
  <si>
    <t>BM E02.11</t>
  </si>
  <si>
    <t>Citofono Cancello</t>
  </si>
  <si>
    <t>CAB04A - MMRB</t>
  </si>
  <si>
    <t>Slave di ACP2.3</t>
  </si>
  <si>
    <t>Citofono Recom</t>
  </si>
  <si>
    <t>ACP 6.02</t>
  </si>
  <si>
    <t>ACD6.01,ACD6.02,ACD6.03</t>
  </si>
  <si>
    <t>ACD6.04, ACD6.05, Pilomat</t>
  </si>
  <si>
    <t>10.244.35.21</t>
  </si>
  <si>
    <t>10.244.4.23</t>
  </si>
  <si>
    <t>10.244.35.17</t>
  </si>
  <si>
    <t>0017.cf</t>
  </si>
  <si>
    <t>Pulsante IN4</t>
  </si>
  <si>
    <t>788895234
788895247
788895464</t>
  </si>
  <si>
    <t>ID 422</t>
  </si>
  <si>
    <t>ID423</t>
  </si>
  <si>
    <t>ID 421</t>
  </si>
  <si>
    <t>Pilomat SU</t>
  </si>
  <si>
    <t>Pilomat GIU</t>
  </si>
  <si>
    <t>ID 424</t>
  </si>
  <si>
    <t>ID 425</t>
  </si>
  <si>
    <t>ID 426</t>
  </si>
  <si>
    <t>ID 427</t>
  </si>
  <si>
    <t>ID 368</t>
  </si>
  <si>
    <t>Pilomat Entrata Caario MIL01A</t>
  </si>
  <si>
    <t>ID 391</t>
  </si>
  <si>
    <t>NON apre il sw</t>
  </si>
  <si>
    <t>Note</t>
  </si>
  <si>
    <t>MIL01A_ACP1.01</t>
  </si>
  <si>
    <t>MIL01A_ACP1.02</t>
  </si>
  <si>
    <t>MIL01A_ACP1.04</t>
  </si>
  <si>
    <t>MIL01A_ACP1.05</t>
  </si>
  <si>
    <t>MIL01A_ACP1.03</t>
  </si>
  <si>
    <t>MIL01A_ACP5.02</t>
  </si>
  <si>
    <t>MIL01A_ACP1.06</t>
  </si>
  <si>
    <t>MIL01A_ACP1.07</t>
  </si>
  <si>
    <t>MIL01A_(ACP1.03_Bio)_CR04-04</t>
  </si>
  <si>
    <t>MIL01A_ACP4.01</t>
  </si>
  <si>
    <t>MIL01A_ACP4.02</t>
  </si>
  <si>
    <t>ACP5.01B
(Primo Piano)</t>
  </si>
  <si>
    <t>ACP5.02B
(Primo Piano)</t>
  </si>
  <si>
    <t>ACP5_03B
(Primo Piano)</t>
  </si>
  <si>
    <t>MIL01A_ACP5.01B</t>
  </si>
  <si>
    <t>MIL01A_ACP5.02B</t>
  </si>
  <si>
    <t xml:space="preserve">CR501, CR725 (senza rele) </t>
  </si>
  <si>
    <t>ACP5.03
(Amazon Area Warehouse)</t>
  </si>
  <si>
    <t>MIL01A_ACP5.03B</t>
  </si>
  <si>
    <t>MIL01A_ACP5.06</t>
  </si>
  <si>
    <t>MIL01A_ACP5.07</t>
  </si>
  <si>
    <t>MIL01A_ACP5.04B</t>
  </si>
  <si>
    <t>ACP5_04B
(Primo Piano)</t>
  </si>
  <si>
    <t>ACP5_05</t>
  </si>
  <si>
    <t>MIL01A_ACP5.04</t>
  </si>
  <si>
    <t>MIL01A_ACP5.05</t>
  </si>
  <si>
    <t>MIL01A_ACP5.06B</t>
  </si>
  <si>
    <t>CA5_06B
(Primo Piano)</t>
  </si>
  <si>
    <t>MMR2 05-26</t>
  </si>
  <si>
    <t>Ingresso DH lato dx Mil01b</t>
  </si>
  <si>
    <t>Datahall in basso a destro…</t>
  </si>
  <si>
    <t>ACD7N.2</t>
  </si>
  <si>
    <t>ACD7N.1</t>
  </si>
  <si>
    <t>Cancellino Microsoft</t>
  </si>
  <si>
    <t>ID 429</t>
  </si>
  <si>
    <t>RS485(1),RLY1,IN2,OUT2</t>
  </si>
  <si>
    <t>ACD2.1,ACD5.11</t>
  </si>
  <si>
    <t>BIO ACP5.11</t>
  </si>
  <si>
    <t>SI 4,7k</t>
  </si>
  <si>
    <t>Plenium Mil01B</t>
  </si>
  <si>
    <t>Datahall in alto a destra…</t>
  </si>
  <si>
    <t>Porta Citofono uffici Microsoft</t>
  </si>
  <si>
    <t>Porta ufficio Microsoft verso Stack</t>
  </si>
  <si>
    <t>Vuoto</t>
  </si>
  <si>
    <t>BM Enroll MIL01B</t>
  </si>
  <si>
    <t>13.94.233.88</t>
  </si>
  <si>
    <t>CR805</t>
  </si>
  <si>
    <t>RS485(1),RLY1,IN2</t>
  </si>
  <si>
    <t>RS485(3),RLY3</t>
  </si>
  <si>
    <t>ACP5.14
Corestation
10.248.39.48</t>
  </si>
  <si>
    <t>W2,RLY2,OUT4</t>
  </si>
  <si>
    <t>0017fc6e7413</t>
  </si>
  <si>
    <t>0017fc63749e</t>
  </si>
  <si>
    <t>BM -no LAN</t>
  </si>
  <si>
    <t>ACP8.01
Corestation
10.248.39.58</t>
  </si>
  <si>
    <t>CR07-01</t>
  </si>
  <si>
    <t>CR07-02</t>
  </si>
  <si>
    <t>CR07-03</t>
  </si>
  <si>
    <t>CR07-'04</t>
  </si>
  <si>
    <t>BG da implementare</t>
  </si>
  <si>
    <t>W1,RLY1,IN2,OUT4</t>
  </si>
  <si>
    <t>W2,RL2;IN4,OUT4</t>
  </si>
  <si>
    <t>CM scollegati</t>
  </si>
  <si>
    <t>non esiste CM</t>
  </si>
  <si>
    <t>cm ok 4.7k</t>
  </si>
  <si>
    <t>cb006</t>
  </si>
  <si>
    <t>cb005</t>
  </si>
  <si>
    <t>cb004tornello IN</t>
  </si>
  <si>
    <t>cb004 Tornello OUT</t>
  </si>
  <si>
    <t>W1,RLY1,OUT2</t>
  </si>
  <si>
    <t>RS485(2),W2,RLY2,OUT4,IN4</t>
  </si>
  <si>
    <t>SIRENA Held open Door 1m OUT5</t>
  </si>
  <si>
    <t xml:space="preserve">BP 865904436 </t>
  </si>
  <si>
    <t>cb008</t>
  </si>
  <si>
    <t>BP 865904443</t>
  </si>
  <si>
    <t>RS485(0),W0,RLY0,IN0</t>
  </si>
  <si>
    <t>SIRENA Held open Door 1m OUT1</t>
  </si>
  <si>
    <t>ACP8.02B
10.248.39.60</t>
  </si>
  <si>
    <t>ACP8.03
10.248.39.61</t>
  </si>
  <si>
    <t>ACP8.04
10.248.39.62</t>
  </si>
  <si>
    <t>cb001</t>
  </si>
  <si>
    <t>cb002</t>
  </si>
  <si>
    <t>cb003</t>
  </si>
  <si>
    <t>BP 865904441</t>
  </si>
  <si>
    <t>W2,RLY3,IN4,IN6,OUT4,OUT6</t>
  </si>
  <si>
    <t>W0,W3,RLY,IN0,OUT0</t>
  </si>
  <si>
    <t>W0</t>
  </si>
  <si>
    <t>ACD7N.3 OUT</t>
  </si>
  <si>
    <t>ACD7N.3 IN</t>
  </si>
  <si>
    <t>? 740 o 175</t>
  </si>
  <si>
    <t>ACP3.1 o 3.2</t>
  </si>
  <si>
    <t>ACP3.2 o 3.1</t>
  </si>
  <si>
    <t>Secom I.01.02</t>
  </si>
  <si>
    <t>x</t>
  </si>
  <si>
    <t>I.01.08</t>
  </si>
  <si>
    <t>I.01.06</t>
  </si>
  <si>
    <t>I.01.07</t>
  </si>
  <si>
    <t>I.02.06</t>
  </si>
  <si>
    <t>I.02.05</t>
  </si>
  <si>
    <t>ASSABLOY 12VDC  x</t>
  </si>
  <si>
    <t>E02.01</t>
  </si>
  <si>
    <t>E03.01</t>
  </si>
  <si>
    <t>contatto Pulito</t>
  </si>
  <si>
    <t>(138 e 145)</t>
  </si>
  <si>
    <t>W1</t>
  </si>
  <si>
    <t>W0,RLY1 (ascP0),OUT0,OUT1</t>
  </si>
  <si>
    <t>Comando NO pulito che abilita la chiamata dal PT</t>
  </si>
  <si>
    <t>Cavedio ???</t>
  </si>
  <si>
    <t>Problemi CM (5/2/25</t>
  </si>
  <si>
    <t>MIL01A_(ACP4.02_Bio)_CR401</t>
  </si>
  <si>
    <t>MIL01A_(ACP4.02_Bio)_CR402</t>
  </si>
  <si>
    <t>MIL01A_(ACP4.02_Bio)_CR1003</t>
  </si>
  <si>
    <t>MIL01A_(ACP5.14_Bio)_CR806 LatoTornellDX</t>
  </si>
  <si>
    <t>MIL01A_(ACP5.14_Bio)_CR807 TornellDXiN</t>
  </si>
  <si>
    <t>MIL01A_(ACP5.12_Bio)_CR802 TornelloSXIN</t>
  </si>
  <si>
    <t>MIL01A_(ACP5.12_Bio)_CR803</t>
  </si>
  <si>
    <t>MIL01A_(ACP5.13_Bio)_CR800 TornelloCentrale</t>
  </si>
  <si>
    <t>MIL01A_(ACP5.13_Bio)_CR801 LatoTornelloCentrale</t>
  </si>
  <si>
    <t>MIL01A_(ACP4.01_Bio)_CR04_07</t>
  </si>
  <si>
    <t>MIL01A_(ACP5.11_Bio)_CR515 Secom
**Config.Solo Tessera**</t>
  </si>
  <si>
    <t>Tipo dispositivo
**Nome quadro sui disegni MIL01B*</t>
  </si>
  <si>
    <t>MIL01B_Bio_ACD5.11</t>
  </si>
  <si>
    <t>MIL01B_Bio_ACD4.02</t>
  </si>
  <si>
    <t>MIL01B_Bio_ACD4.06</t>
  </si>
  <si>
    <t>MIL01B_Bio_ACD4.07</t>
  </si>
  <si>
    <t>MIL01B_Bio_ACD4.08</t>
  </si>
  <si>
    <t>MIL01B_Bio_ACD5.26</t>
  </si>
  <si>
    <t>MIL01B_Bio_ACD5.02</t>
  </si>
  <si>
    <t>MIL01B_Bio_Floyd0</t>
  </si>
  <si>
    <t>MIL01B_Bio_Floyd1</t>
  </si>
  <si>
    <t>MIL01B_Bio_FL2</t>
  </si>
  <si>
    <t>MIL01B_Bio_ACD5.03</t>
  </si>
  <si>
    <t>MIL01B_Bio_ACD5.04</t>
  </si>
  <si>
    <t>MIL01B_Bio_ACD5.06</t>
  </si>
  <si>
    <t>MIL01B_Bio_ACD5.07</t>
  </si>
  <si>
    <t>MIL01B_Bio_ACD5.09</t>
  </si>
  <si>
    <t>MIL01B_Bio_ACD5.10</t>
  </si>
  <si>
    <t>MIL01B_Bio_ACD7.22</t>
  </si>
  <si>
    <t>MIL01B_Bio_ACD7.02</t>
  </si>
  <si>
    <t>MIL01B_Bio_ACD7.04</t>
  </si>
  <si>
    <t>MIL01B_ACP F2.2(DM20A)
MIL01B_ACP F2.2(DM20B)</t>
  </si>
  <si>
    <t>MIL01B_ACP F2.5(DM20A)
MIL01B_ACP F2.5(DM20B)</t>
  </si>
  <si>
    <t>MIL01B_ACP F2.3(DM20A)</t>
  </si>
  <si>
    <t>MIL01B_Bio_CAF2.3(ACP F2.1)</t>
  </si>
  <si>
    <t>MIL01B_Bio_CAF2.4(ACP F2.3)</t>
  </si>
  <si>
    <t>MIL01B_Bio_CAF2.5(ACP F2.3)</t>
  </si>
  <si>
    <t>MIL01B_Bio_CAF2.9(ACP F2.5)</t>
  </si>
  <si>
    <t>VARIANTE MAR2025</t>
  </si>
  <si>
    <t>ACD5.34 OUT</t>
  </si>
  <si>
    <t>SParkle</t>
  </si>
  <si>
    <t>NV</t>
  </si>
  <si>
    <t>ACD5.25 IN</t>
  </si>
  <si>
    <t>ACD5.25 OUT</t>
  </si>
  <si>
    <t>ù</t>
  </si>
  <si>
    <t>ACD5.312OUT</t>
  </si>
  <si>
    <t xml:space="preserve">W1 </t>
  </si>
  <si>
    <t>(RLY3,e 2 Rotti)</t>
  </si>
  <si>
    <t>W1,RLY1,IN4,OUT3,OUT4</t>
  </si>
  <si>
    <t>(12VAC)</t>
  </si>
  <si>
    <t>MIL01C_ACP1.1</t>
  </si>
  <si>
    <t>MIL01C_ACP1.2</t>
  </si>
  <si>
    <t>MIL01C_ACP1.3</t>
  </si>
  <si>
    <t>MIL01C_ACP2.1</t>
  </si>
  <si>
    <t>MIL01C_ACP2.2</t>
  </si>
  <si>
    <t>MIL01C_ACP2.3</t>
  </si>
  <si>
    <t>MIL01C_ACP2.4</t>
  </si>
  <si>
    <t>MIL01C_ACP2.5</t>
  </si>
  <si>
    <t>MIL01C_ACP2.6</t>
  </si>
  <si>
    <t>TREX IN5</t>
  </si>
  <si>
    <t>BP 865904440</t>
  </si>
  <si>
    <t>BP 865904432</t>
  </si>
  <si>
    <t xml:space="preserve">TMC5F - ACC- ESW01 MepGallery </t>
  </si>
  <si>
    <t>0017.fc4f.8485</t>
  </si>
  <si>
    <t>NO POE</t>
  </si>
  <si>
    <t>Quadro in Slave in Rs485 senza indirizzo IP</t>
  </si>
  <si>
    <t>E.03.02</t>
  </si>
  <si>
    <t>PORTA FATTA</t>
  </si>
  <si>
    <t>Porta Lato Tornello</t>
  </si>
  <si>
    <t>SerieRS485(0),RLY0,IN0</t>
  </si>
  <si>
    <t>SerieRS485(1)),RLY1,IN2</t>
  </si>
  <si>
    <t>RS485(0),RLY0,IN0</t>
  </si>
  <si>
    <t>ContattoRotazione</t>
  </si>
  <si>
    <t>T.REX.NC ATTIVO</t>
  </si>
  <si>
    <t>RIMOSSA</t>
  </si>
  <si>
    <t>rele2</t>
  </si>
  <si>
    <t>rele3</t>
  </si>
  <si>
    <t>rele1</t>
  </si>
  <si>
    <t>rele0</t>
  </si>
  <si>
    <t>Telefono Recom  (LAN REC CIT)</t>
  </si>
  <si>
    <t>Sirena - OUT0 ACP2.5
sulla porta per HELD OPEN
e FORCED OPEN</t>
  </si>
  <si>
    <t>10.248.39.68</t>
  </si>
  <si>
    <t>BM 576</t>
  </si>
  <si>
    <t>BM 135</t>
  </si>
  <si>
    <t>Ingresso DH Sect2</t>
  </si>
  <si>
    <t>BM Enroll Interno Secom</t>
  </si>
  <si>
    <t>Interno Secom</t>
  </si>
  <si>
    <t>10.248.39.13</t>
  </si>
  <si>
    <t>MIL01A-N101-ACC-IDF</t>
  </si>
  <si>
    <t>0017fc6ea52d</t>
  </si>
  <si>
    <t>Batteria Sistemata
01/07/2025</t>
  </si>
  <si>
    <t>10.248.39.69</t>
  </si>
  <si>
    <t>RS485,RLY2,IN6</t>
  </si>
  <si>
    <t>RS485,RLY3,SIN4</t>
  </si>
  <si>
    <t>Nuovo acquisto Luglio 25</t>
  </si>
  <si>
    <t>ex Sample  del ufficio STM; adesso in</t>
  </si>
  <si>
    <t>Tornata riparata adesso in Stack come scorta</t>
  </si>
  <si>
    <t>ACP4.02
Corestation
10.248.39.69</t>
  </si>
  <si>
    <t>ID 235 ??</t>
  </si>
  <si>
    <t>W0,RS(0),RLY0,IN0</t>
  </si>
  <si>
    <t>BG
(Porta con Citofono)</t>
  </si>
  <si>
    <t>CM 4.7Ohm - Ok Lug25</t>
  </si>
  <si>
    <t>BM 729 - POE</t>
  </si>
  <si>
    <t>Back Recom</t>
  </si>
  <si>
    <t>CM da sempre 10K e non va</t>
  </si>
  <si>
    <t>RS485(1),RLY1,S_IN2,IN3</t>
  </si>
  <si>
    <t>MIL01A_Pilomat</t>
  </si>
  <si>
    <t>--- BG finto sul sistema --</t>
  </si>
  <si>
    <t>RLY3</t>
  </si>
  <si>
    <t>DATA HALL 3 - ORACLE</t>
  </si>
  <si>
    <t>Manca Maniglione non son via di fuga??</t>
  </si>
  <si>
    <t>7048
7064</t>
  </si>
  <si>
    <r>
      <t xml:space="preserve">7046
</t>
    </r>
    <r>
      <rPr>
        <sz val="12"/>
        <color rgb="FFFF0000"/>
        <rFont val="Calibri"/>
        <family val="2"/>
        <scheme val="minor"/>
      </rPr>
      <t>7062
7050</t>
    </r>
  </si>
  <si>
    <t>Questo ACP non è stato acquisito dal Software</t>
  </si>
  <si>
    <t>ACD2.03
**i due DM20 con il seriale in rosso non sono stati acquisiti**</t>
  </si>
  <si>
    <t>ACD2.12,ACD2.13</t>
  </si>
  <si>
    <t>ACD2.16,ACD2.17</t>
  </si>
  <si>
    <t>ACD4.21,ACD4.23</t>
  </si>
  <si>
    <t>ACD1.10,ACD1.11,ACD1.12,ACD1.13
**i due DM20 con il seriale in rosso non sono stati acquisiti**</t>
  </si>
  <si>
    <t>ACD1.14,ACD1.15,ACD1.16</t>
  </si>
  <si>
    <t>ACD1.05,ACD1.06,ACD1.07,ACD1.08,ACD1.09</t>
  </si>
  <si>
    <t>ACD2.15
**i due DM20 con il seriale in rosso non sono stati acquisiti**</t>
  </si>
  <si>
    <t>ACD2.07,ACD2.09,ACD2.10</t>
  </si>
  <si>
    <t>ACD4.05,ACD4.06</t>
  </si>
  <si>
    <t>ACD4.15,ACD4.16,ACD4.17</t>
  </si>
  <si>
    <t>ACD4.08,ACD4.09,ACD4.10,ACD4.11,ACD4.12</t>
  </si>
  <si>
    <t>ACD4.27,ACD4.28,ACD4.29,ACD4.30</t>
  </si>
  <si>
    <r>
      <rPr>
        <sz val="12"/>
        <color rgb="FFFF0000"/>
        <rFont val="Calibri"/>
        <family val="2"/>
        <scheme val="minor"/>
      </rPr>
      <t xml:space="preserve">7066
7058
</t>
    </r>
    <r>
      <rPr>
        <sz val="12"/>
        <color theme="1"/>
        <rFont val="Calibri"/>
        <family val="2"/>
        <scheme val="minor"/>
      </rPr>
      <t>7053</t>
    </r>
  </si>
  <si>
    <t>10.245.4.132</t>
  </si>
  <si>
    <t xml:space="preserve">ENROLL STATION </t>
  </si>
  <si>
    <t>BEW2-OAPB</t>
  </si>
  <si>
    <t>Bio Enroll MIL02</t>
  </si>
  <si>
    <t>10.245.4.111</t>
  </si>
  <si>
    <t>ENROLL STATION INTERNA SECOM</t>
  </si>
  <si>
    <t>Bio Enroll Interna Secom MIL02</t>
  </si>
  <si>
    <t>no rete</t>
  </si>
  <si>
    <t>10.245.4.122</t>
  </si>
  <si>
    <t>ACD4.01_Bio_RS0_4.122</t>
  </si>
  <si>
    <t>ACD1.19_Bio_RS0_4-104</t>
  </si>
  <si>
    <t>1.2.1</t>
  </si>
  <si>
    <t>ACD2.05_Bio</t>
  </si>
  <si>
    <t>Bio_ACD4.20_In</t>
  </si>
  <si>
    <t>verificare indiirzzo IP</t>
  </si>
  <si>
    <t>ACD2.04_Bio_RS0_4_125</t>
  </si>
  <si>
    <t>ACD1.20_Bio_RS1_4.108</t>
  </si>
  <si>
    <t>CM NC --Ok Luglio 2025
Porta Pronta</t>
  </si>
  <si>
    <t>Verfiica CM</t>
  </si>
  <si>
    <t>PORTA AUTOMATICA IN USCITA</t>
  </si>
  <si>
    <t>HOD+FOD
Porta accesso Edificio</t>
  </si>
  <si>
    <t>HOD+FOD
Porta accesso DH</t>
  </si>
  <si>
    <t>Oracle</t>
  </si>
  <si>
    <t>ACD2.14_Bio</t>
  </si>
  <si>
    <t>no rete??</t>
  </si>
  <si>
    <t>ACD4.20 - BREAKAREA IN</t>
  </si>
  <si>
    <t>ACD4.01 - Porta Nera fianco Tornelli</t>
  </si>
  <si>
    <t xml:space="preserve">ACD2.14 - Filter Acceesso DataHall </t>
  </si>
  <si>
    <t>ACD1.19 Da esterno a equipment corridor</t>
  </si>
  <si>
    <t>101,107,109,141?</t>
  </si>
  <si>
    <t>CA_2007 (CR-08-01)</t>
  </si>
  <si>
    <t>CA_2008 (CR-08-02)</t>
  </si>
  <si>
    <t>ACD2.09_Bio</t>
  </si>
  <si>
    <t>ACD4.02IN_RS1_Tornello</t>
  </si>
  <si>
    <t>ACD4.02 Tornello IN</t>
  </si>
  <si>
    <t>7071
7072</t>
  </si>
  <si>
    <t>ACD1.03_Bio_Rs0</t>
  </si>
  <si>
    <t>BG XPASS D2
865804565</t>
  </si>
  <si>
    <t>Volendo posso metter 2 Buseer /sirene una per lato con flii liberi</t>
  </si>
  <si>
    <t>BG
(Cavo dice CR128)</t>
  </si>
  <si>
    <t>RS485(1),RLY1</t>
  </si>
  <si>
    <t>CM 4.7K ok</t>
  </si>
  <si>
    <t>W1,RS485(1),RLY1,IN2,OUT3,OU4</t>
  </si>
  <si>
    <t>4.7K</t>
  </si>
  <si>
    <t>CM OK</t>
  </si>
  <si>
    <t>03A_DH2.1 Fastweb</t>
  </si>
  <si>
    <t>Rack_DH2_1 Eolo</t>
  </si>
  <si>
    <t>02B_DH2.1 Eolo</t>
  </si>
  <si>
    <t>01B_DH2.1 CNR</t>
  </si>
  <si>
    <t>03B_DH2.1  MMC</t>
  </si>
  <si>
    <t>MILANO UFFICI</t>
  </si>
  <si>
    <t>MI_Velasca_ACP1</t>
  </si>
  <si>
    <t>10.248.39.111</t>
  </si>
  <si>
    <t>Uffici Velasca</t>
  </si>
  <si>
    <t>BP 865904438</t>
  </si>
  <si>
    <t>BP 865906185</t>
  </si>
  <si>
    <t>BP 865904444</t>
  </si>
  <si>
    <t>RS485(2)),RLY2,IN2</t>
  </si>
  <si>
    <t>RS485(3),RLY3,IN3</t>
  </si>
  <si>
    <t>Locale:
HOD&amp;FOD Alarm =
Sound su MIL01A_ACP2.02</t>
  </si>
  <si>
    <t>Locale:
HOD Alarm =
Output MIL01A_ACP5.03 OUT0
FOD Alarm =
Output MIL01A_ACP5.03 OUT1</t>
  </si>
  <si>
    <t>Scehda "ALARM"
Sul biostar porta dettalgi porta</t>
  </si>
  <si>
    <t xml:space="preserve">ALERT Global
</t>
  </si>
  <si>
    <t>Locale:
HOD Alarm =
Output MIL01A_ACP5.08 OUT5
FOD Alarm =
Output MIL01A_ACP5.08 OUT7</t>
  </si>
  <si>
    <t>W0,W1,RLY0,IN0,OUT0,OUT2</t>
  </si>
  <si>
    <t>Locale:
HOD Alarm =
Output MIL01A_ACP5.14 OUT0
FOD Alarm =
Output MIL01A_ACP5.14 OUT2</t>
  </si>
  <si>
    <t>"HELD OPEN DOOR ALARMED"
"FORCED OPEN DOOR ALARMED"</t>
  </si>
  <si>
    <t xml:space="preserve">Nome Porta 
in BIOSTAR </t>
  </si>
  <si>
    <t>Nome Lettori
in Biostar</t>
  </si>
  <si>
    <t>Locale:
HOD Alarm =
Output MIL01A_ACP8.03 OUT6
FOD Alarm =
Output MIL01A_ACP8.03 OUT6</t>
  </si>
  <si>
    <t>W3,W0,RLY3,IN6,OUT6,OUT0</t>
  </si>
  <si>
    <t>W2,RS485(2),RLY2(NO),S_IN04,OUT4,OUT5</t>
  </si>
  <si>
    <t>MIL01A_CR501
MIL01A_(ACP5.03_W1)_CR501IN
MIL01A_(ACP5.03_W1)_CR501OUT</t>
  </si>
  <si>
    <t>MIL01A_(ACP5.01_W2)_CR126
MIL01A_(ACP5.01_W2)_CR126X
MIL01A_(ACP5.01_RS2)_CR126X</t>
  </si>
  <si>
    <t>MIL01A_CB006
MIL01A_(ACP8.03_W3)_CB006
MIL01A_(ACP8.03_W3)_CB006_Exit</t>
  </si>
  <si>
    <t>MIL01A_CR804
MIL01A_(ACP5.12_W2)_CR804IN
MIL01A_(ACP5.12_W2)_CR804OUT</t>
  </si>
  <si>
    <t>W2,W3,RLY(3),S_IN4,OUT5,OUT7</t>
  </si>
  <si>
    <t>Locale:
HOD Alarm =
Output MIL01A_ACP5.12 OUT5
FOD Alarm =
Output MIL01A_ACP5.12 OUT7</t>
  </si>
  <si>
    <t>MIL01A_CR544
MIL01A_(ACP2.02_RS1)_CR544
MIL01A_(ACP2.02_W1)_CR544X</t>
  </si>
  <si>
    <t>Locale:
HOD&amp;FOD Alarm =
Sound 
MIL01A_ACP2.02_RS1)_CR544</t>
  </si>
  <si>
    <t>BG XPASS D2
XXXXXXX</t>
  </si>
  <si>
    <t>Acceeso DH Settore 1</t>
  </si>
  <si>
    <t>PortaDH ingresso forntale SX
Accesso DH Settore 2</t>
  </si>
  <si>
    <t>PortaDH lato DX entrata
Accesso DH Settore 1</t>
  </si>
  <si>
    <t>Accesso DH Settore 2</t>
  </si>
  <si>
    <t>MIL01A_CR127
MIL01A_(ACP2.02_W2)_CR127
MIL01A_(ACP2.02_W3)_CR127</t>
  </si>
  <si>
    <t>Locale:
HOD&amp;FOD Alarm =
Sound 
MIL01A_(ACP5.01_RS2)_CR126X</t>
  </si>
  <si>
    <t>"HELD OPEN DOOR ALARMED"
"FORCED OPEN DOOR ALARMED"
msg: 
MIL01A_ACP2.02 (HOD_CR127)</t>
  </si>
  <si>
    <t>Contatto in Corto NON COLLEGATO
????????ù</t>
  </si>
  <si>
    <t>MIL01A_ACP5.08
MIL01A_(ACP5.08_W2)_CR530 IN
MIL01A_(ACP5.08_W2)_CR530 OUT</t>
  </si>
  <si>
    <r>
      <t xml:space="preserve">MIL01A_ACP5.08 - </t>
    </r>
    <r>
      <rPr>
        <b/>
        <sz val="12"/>
        <color theme="1"/>
        <rFont val="Calibri"/>
        <family val="2"/>
        <scheme val="minor"/>
      </rPr>
      <t>HOD_CR530</t>
    </r>
  </si>
  <si>
    <r>
      <t xml:space="preserve">MIL01A_ACP5.03 - </t>
    </r>
    <r>
      <rPr>
        <b/>
        <sz val="12"/>
        <color theme="1"/>
        <rFont val="Calibri"/>
        <family val="2"/>
        <scheme val="minor"/>
      </rPr>
      <t>HOD_CR501</t>
    </r>
  </si>
  <si>
    <r>
      <t xml:space="preserve">MIL01A_ACP2.02 - </t>
    </r>
    <r>
      <rPr>
        <b/>
        <sz val="12"/>
        <color theme="1"/>
        <rFont val="Calibri"/>
        <family val="2"/>
        <scheme val="minor"/>
      </rPr>
      <t>HOD_CR127</t>
    </r>
  </si>
  <si>
    <t>"HELD OPEN DOOR ALARMED"
"FORCED OPEN DOOR ALARMED"
msg: 
MIL01A_ACP5.08 (HOD_CR530)</t>
  </si>
  <si>
    <r>
      <t xml:space="preserve">MIL01A_ACP5.12 - </t>
    </r>
    <r>
      <rPr>
        <b/>
        <sz val="12"/>
        <color theme="1"/>
        <rFont val="Calibri"/>
        <family val="2"/>
        <scheme val="minor"/>
      </rPr>
      <t>HOD_CR804</t>
    </r>
    <r>
      <rPr>
        <sz val="12"/>
        <color theme="1"/>
        <rFont val="Calibri"/>
        <family val="2"/>
        <scheme val="minor"/>
      </rPr>
      <t xml:space="preserve">
Tornello SX e Porta Data HALL SX</t>
    </r>
  </si>
  <si>
    <t>"HELD OPEN DOOR ALARMED"
"FORCED OPEN DOOR ALARMED"
msg:
MIL01A_ACP5.12 - HOD_CR804</t>
  </si>
  <si>
    <r>
      <t xml:space="preserve">MIL01A_ACP5.01 - </t>
    </r>
    <r>
      <rPr>
        <b/>
        <sz val="12"/>
        <color theme="1"/>
        <rFont val="Calibri"/>
        <family val="2"/>
        <scheme val="minor"/>
      </rPr>
      <t>HOD_CR126</t>
    </r>
  </si>
  <si>
    <t>"HELD OPEN DOOR ALARMED"
"FORCED OPEN DOOR ALARMED"
msg
MIL01A_ACP5.01 - HOD_CR126</t>
  </si>
  <si>
    <t>"HELD OPEN DOOR ALARMED"
"FORCED OPEN DOOR ALARMED"
msg: 
MIL01A_ACP5.03 - HOD_CR501</t>
  </si>
  <si>
    <r>
      <t xml:space="preserve">MIL01A_ACP5.14 - </t>
    </r>
    <r>
      <rPr>
        <b/>
        <sz val="12"/>
        <color theme="1"/>
        <rFont val="Calibri"/>
        <family val="2"/>
        <scheme val="minor"/>
      </rPr>
      <t>HOD_CR805</t>
    </r>
    <r>
      <rPr>
        <sz val="12"/>
        <color theme="1"/>
        <rFont val="Calibri"/>
        <family val="2"/>
        <scheme val="minor"/>
      </rPr>
      <t xml:space="preserve">
Tornello DX e Porta Data HALL Dx</t>
    </r>
  </si>
  <si>
    <t>MIL01A_CR805
MIL01A_(ACP5.14_W0)_CR805
MIL01A_(ACP5.14_W1)_CR805X</t>
  </si>
  <si>
    <t>"HELD OPEN DOOR ALARMED"
"FORCED OPEN DOOR ALARMED"
msg:
MIL01A_ACP5.14 - HOD_CR805</t>
  </si>
  <si>
    <r>
      <t xml:space="preserve">MIL01A_ACP8.03 - </t>
    </r>
    <r>
      <rPr>
        <b/>
        <sz val="12"/>
        <color theme="1"/>
        <rFont val="Calibri"/>
        <family val="2"/>
        <scheme val="minor"/>
      </rPr>
      <t>HOD_CB006</t>
    </r>
  </si>
  <si>
    <r>
      <t>CB_005,</t>
    </r>
    <r>
      <rPr>
        <b/>
        <sz val="12"/>
        <rFont val="Calibri (Corpo)"/>
      </rPr>
      <t>CB_006</t>
    </r>
    <r>
      <rPr>
        <b/>
        <sz val="12"/>
        <color rgb="FFFF0000"/>
        <rFont val="Calibri"/>
        <family val="2"/>
        <scheme val="minor"/>
      </rPr>
      <t>,CB_004IN,CB004_OUT</t>
    </r>
  </si>
  <si>
    <t>"HELD OPEN DOOR ALARMED"
"FORCED OPEN DOOR ALARMED"
msg:
MIL01A_ACP8.03 - HOD_CB006</t>
  </si>
  <si>
    <t>MIL</t>
  </si>
  <si>
    <t>ACP5.15</t>
  </si>
  <si>
    <t>ACP5.16</t>
  </si>
  <si>
    <t>ACP5.17</t>
  </si>
  <si>
    <t>ACP8.01</t>
  </si>
  <si>
    <t>ACP8.02</t>
  </si>
  <si>
    <t>ACP8.03</t>
  </si>
  <si>
    <t>ACP8.04</t>
  </si>
  <si>
    <t>ACP8.02B</t>
  </si>
  <si>
    <t>ACP9.01</t>
  </si>
  <si>
    <t>ACP9.02</t>
  </si>
  <si>
    <t>ACP5.01B</t>
  </si>
  <si>
    <t>ACP5.02B</t>
  </si>
  <si>
    <t>ACP5.03B</t>
  </si>
  <si>
    <t>ACP5.04B</t>
  </si>
  <si>
    <t>ACP5.05B</t>
  </si>
  <si>
    <t>ACP5.06B</t>
  </si>
  <si>
    <t>Nome Porta in BIOSTAR 
Nomi Device in Biostar</t>
  </si>
  <si>
    <t>Scheda "ALARM"
(Finestra dettalgi porta)</t>
  </si>
  <si>
    <t>Exit Button
(T.REX,maniglione,opulsante)</t>
  </si>
  <si>
    <t>BG HID</t>
  </si>
  <si>
    <t>BG HID rimosso</t>
  </si>
  <si>
    <t>BG HID
(Porta con Citofono)</t>
  </si>
  <si>
    <t>BG HID *Mai andato</t>
  </si>
  <si>
    <t>BG HID
(Cavo dice CR128)</t>
  </si>
  <si>
    <t>--- BG HID finto sul sistema --</t>
  </si>
  <si>
    <t>BG HID da implementare</t>
  </si>
  <si>
    <t xml:space="preserve">BG HID </t>
  </si>
  <si>
    <t>XPASS D2 + HID FW
XXXXXXX</t>
  </si>
  <si>
    <t>XPASS D2 + HID FW
865804565</t>
  </si>
  <si>
    <t>Seriale Device di comando</t>
  </si>
  <si>
    <t>Accesso DH Settore 1</t>
  </si>
  <si>
    <r>
      <rPr>
        <sz val="12"/>
        <color rgb="FFFF0000"/>
        <rFont val="Calibri"/>
        <family val="2"/>
      </rPr>
      <t>Accesso DH Settore 2</t>
    </r>
    <r>
      <rPr>
        <sz val="12"/>
        <color theme="1"/>
        <rFont val="Calibri"/>
        <family val="2"/>
      </rPr>
      <t xml:space="preserve">
PortaDH ingresso forntale SX
</t>
    </r>
  </si>
  <si>
    <r>
      <rPr>
        <sz val="12"/>
        <color rgb="FFFF0000"/>
        <rFont val="Calibri"/>
        <family val="2"/>
      </rPr>
      <t>Accesso DH Settore 1</t>
    </r>
    <r>
      <rPr>
        <sz val="12"/>
        <color theme="1"/>
        <rFont val="Calibri"/>
        <family val="2"/>
      </rPr>
      <t xml:space="preserve">
PortaDH lato DX entrata
</t>
    </r>
  </si>
  <si>
    <t>Locale:
HOD Alarm =
Output MIL01A_ACP8.02 OUT0
FOD Alarm =
Output MIL01A_ACP8.02 OUT0</t>
  </si>
  <si>
    <t>MIL01A_CR530 (HOD)
MIL01A_(ACP5.08_W2)_CR530 IN
MIL01A_(ACP5.08_W2)_CR530 OUT</t>
  </si>
  <si>
    <t>MIL01A_CR805 (HOD)
MIL01A_(ACP5.14_W0)_CR805
MIL01A_(ACP5.14_W1)_CR805X</t>
  </si>
  <si>
    <r>
      <t xml:space="preserve">Accesso DH Settore 2
</t>
    </r>
    <r>
      <rPr>
        <sz val="12"/>
        <rFont val="Calibri"/>
        <family val="2"/>
      </rPr>
      <t>Accesso da Sala Riunioni Office3</t>
    </r>
  </si>
  <si>
    <r>
      <t xml:space="preserve">Accesso DH Settore 2
</t>
    </r>
    <r>
      <rPr>
        <sz val="12"/>
        <rFont val="Calibri"/>
        <family val="2"/>
      </rPr>
      <t>Accesso da Sala Riunioni Office2</t>
    </r>
  </si>
  <si>
    <r>
      <t xml:space="preserve">Accesso DH Settore 2
</t>
    </r>
    <r>
      <rPr>
        <sz val="12"/>
        <rFont val="Calibri"/>
        <family val="2"/>
      </rPr>
      <t>Accesso da Corridoio perimetrale</t>
    </r>
  </si>
  <si>
    <t>Locale:
HOD Alarm =
Output MIL01A_ACP8.01 OUT6
FOD Alarm =
Output MIL01A_ACP8.01 OUT6</t>
  </si>
  <si>
    <t>Locale:
HOD Alarm =
Output MIL01A_ACP8.02 OUT4
FOD Alarm =
Output MIL01A_ACP8.02 OUT4</t>
  </si>
  <si>
    <r>
      <t xml:space="preserve">Accesso All'edificio MIL01A
</t>
    </r>
    <r>
      <rPr>
        <sz val="12"/>
        <rFont val="Calibri"/>
        <family val="2"/>
      </rPr>
      <t>Porta Fondo Equipment Corridor</t>
    </r>
  </si>
  <si>
    <r>
      <t xml:space="preserve">Accesso All'edificio MIL01A
</t>
    </r>
    <r>
      <rPr>
        <sz val="12"/>
        <rFont val="Calibri"/>
        <family val="2"/>
      </rPr>
      <t>Porta Ingresso Receiving RECOM</t>
    </r>
  </si>
  <si>
    <t>Locale:
HOD&amp;FOD Alarm =
Sound 
MIL01A_CR04-01 OUT (RS0)</t>
  </si>
  <si>
    <t>CR-04-07</t>
  </si>
  <si>
    <t>CR04-08</t>
  </si>
  <si>
    <t>W0,W1</t>
  </si>
  <si>
    <t>CR-04-08</t>
  </si>
  <si>
    <t>Accesso Tech Room da Landing Area</t>
  </si>
  <si>
    <t>Accesso Passage da Techroom</t>
  </si>
  <si>
    <t>MIL01A_CR-04-07</t>
  </si>
  <si>
    <t>MIL01A_CR-04-08</t>
  </si>
  <si>
    <t>Locale:
HOD Alarm =
Output MIL01A_ACP2.15 OUT0
FOD Alarm =
Output MIL01A_ACP2.15 OUT0</t>
  </si>
  <si>
    <r>
      <t xml:space="preserve">MIL01A_ACP2.15 - </t>
    </r>
    <r>
      <rPr>
        <b/>
        <sz val="12"/>
        <color theme="1"/>
        <rFont val="Calibri"/>
        <family val="2"/>
        <scheme val="minor"/>
      </rPr>
      <t>HOD CR1004</t>
    </r>
  </si>
  <si>
    <t>"HELD OPEN DOOR ALARMED"
"FORCED OPEN DOOR ALARMED"
msg: 
MIL01A_ACP2.15 (HOD_CR1004)</t>
  </si>
  <si>
    <t>"HELD OPEN DOOR ALARMED"
"FORCED OPEN DOOR ALARMED"
msg:
MIL01A_ACP4.02 (HOD_CR04-01)</t>
  </si>
  <si>
    <t>CA2006 (CR07-04)</t>
  </si>
  <si>
    <t>"HELD OPEN DOOR ALARMED"
"FORCED OPEN DOOR ALARMED"
msg: 
MIL01A_ACP2.02 (HOD_CR127orCR544)</t>
  </si>
  <si>
    <t>PLENIUM????</t>
  </si>
  <si>
    <t>MIL01A_CR501 (HOD)
MIL01A_(ACP5.03_W1)_CR501IN
MIL01A_(ACP5.03_W1)_CR501OUT</t>
  </si>
  <si>
    <t>MIL01A_CR127 (HOD)
MIL01A_(ACP2.02_W2)_CR127
MIL01A_(ACP2.02_W3)_CR127</t>
  </si>
  <si>
    <t>MIL01A_CR544 (HOD)
MIL01A_(ACP2.02_RS1)_CR544
MIL01A_(ACP2.02_W1)_CR544X</t>
  </si>
  <si>
    <t>MIL01A_CR804 (HOD)
MIL01A_(ACP5.12_W2)_CR804IN
MIL01A_(ACP5.12_W2)_CR804OUT</t>
  </si>
  <si>
    <t>MIL01A_CR126 (HOD)
MIL01A_(ACP5.01_W2)_CR126X
MIL01A_(ACP5.01_RS2)_CR126X</t>
  </si>
  <si>
    <t>MIL01A_CR2007 (HOD)
MIL01A_(ACP8.02_W0)_CR2007 IN
MIL01A_(ACP8.02_W1)_CR2007 OUT</t>
  </si>
  <si>
    <t>MIL01A_CR2008 (HOD)
MIL01A_(ACP8.02_W2)_CR2008 IN
MIL01A_(ACP8.02_W3)_CR2008 OUT</t>
  </si>
  <si>
    <t xml:space="preserve">ALERT Global
*es. HOD e FOD
</t>
  </si>
  <si>
    <t>ACP Molot in ALTO impossibile lavorrare</t>
  </si>
  <si>
    <t>Note2</t>
  </si>
  <si>
    <t>Quadro ACP 
Padre 
*ovvero dove c'e CS*</t>
  </si>
  <si>
    <t>ACP4.1</t>
  </si>
  <si>
    <t>ACP7.1</t>
  </si>
  <si>
    <t>MIL01B_ACD1.01</t>
  </si>
  <si>
    <t>MIL01B_ACD1.02</t>
  </si>
  <si>
    <t>MIL01B_ACD1.03</t>
  </si>
  <si>
    <t>MIL01B_ACD1.22</t>
  </si>
  <si>
    <t>MIL01B_ACD1.21</t>
  </si>
  <si>
    <t>MIL01B_ACD1.23</t>
  </si>
  <si>
    <t>MIL01B_ACD1.24</t>
  </si>
  <si>
    <t>MIL01B_ACD1.04</t>
  </si>
  <si>
    <t>MIL01B_ACD1.05</t>
  </si>
  <si>
    <t>MIL01B_ACD1.06</t>
  </si>
  <si>
    <t>MIL01B_ACD1.07</t>
  </si>
  <si>
    <t>MIL01B_ACD1.08</t>
  </si>
  <si>
    <t>MIL01B_ACD1.09</t>
  </si>
  <si>
    <t>MIL01B_ACD1.10</t>
  </si>
  <si>
    <t>MIL01B_ACD1.11</t>
  </si>
  <si>
    <t>MIL01B_ACD1.12</t>
  </si>
  <si>
    <t>MIL01B_ACD1.13</t>
  </si>
  <si>
    <t>MIL01B_ACD1.14</t>
  </si>
  <si>
    <t>MIL01B_ACD1.15</t>
  </si>
  <si>
    <t>MIL01B_ACD1.16</t>
  </si>
  <si>
    <t>MIL01B_ACD1.18</t>
  </si>
  <si>
    <t>MIL01B_ACD1.17</t>
  </si>
  <si>
    <t>MIL01B_ACD5.11</t>
  </si>
  <si>
    <t>MIL01B_</t>
  </si>
  <si>
    <t>MIL01B_ACD2.11</t>
  </si>
  <si>
    <t>MIL01B_ACD4.03</t>
  </si>
  <si>
    <t>MIL01B_ACD4.02</t>
  </si>
  <si>
    <t>MIL01B_ACD4.04</t>
  </si>
  <si>
    <t>MIL01B_ACD4.01</t>
  </si>
  <si>
    <t>MIL01B_ACD4.06</t>
  </si>
  <si>
    <t>MIL01B_ACD4.07</t>
  </si>
  <si>
    <t>MIL01B_ACD4.08</t>
  </si>
  <si>
    <t>MIL01B_ACD5.35</t>
  </si>
  <si>
    <t>MIL01B_ACD5.37</t>
  </si>
  <si>
    <t>MIL01B_ACD5.38</t>
  </si>
  <si>
    <t>MIL01B_ACD5.36</t>
  </si>
  <si>
    <t>MIL01B_ACD5.31</t>
  </si>
  <si>
    <t>MIL01B_ACD5.32</t>
  </si>
  <si>
    <t>MIL01B_ACD5.33</t>
  </si>
  <si>
    <t>MIL01B_ACD5.34</t>
  </si>
  <si>
    <t>MIL01B_ACD5.34 OUT</t>
  </si>
  <si>
    <t>MIL01B_ACD5.312OUT</t>
  </si>
  <si>
    <t>MIL01B_ACD5.23</t>
  </si>
  <si>
    <t>MIL01B_ACD5.24</t>
  </si>
  <si>
    <t>MIL01B_ACD5.25 IN</t>
  </si>
  <si>
    <t>MIL01B_SParkle</t>
  </si>
  <si>
    <t>MIL01B_ACD5.25 OUT</t>
  </si>
  <si>
    <t>MIL01B_ACD5.29</t>
  </si>
  <si>
    <t>MIL01B_ACD5.30</t>
  </si>
  <si>
    <t>MIL01B_ACD2.13 (5.13)</t>
  </si>
  <si>
    <t>MIL01B_ACD5.28</t>
  </si>
  <si>
    <t>MIL01B_ACD5.26</t>
  </si>
  <si>
    <t>MIL01B_ACD5.01</t>
  </si>
  <si>
    <t>MIL01B_ACD5.02</t>
  </si>
  <si>
    <t>MIL01B_ACD_FL1</t>
  </si>
  <si>
    <t>MIL01B_ACD_FL0</t>
  </si>
  <si>
    <t>MIL01B_ACD5.12</t>
  </si>
  <si>
    <t>MIL01B_ACD5.13</t>
  </si>
  <si>
    <t>MIL01B_ACD5.14</t>
  </si>
  <si>
    <t>MIL01B_ACD5.15</t>
  </si>
  <si>
    <t>MIL01B_ACD5.16</t>
  </si>
  <si>
    <t>MIL01B_ACD5.17</t>
  </si>
  <si>
    <t>MIL01B_ACD5.18</t>
  </si>
  <si>
    <t>MIL01B_ACD5.18A</t>
  </si>
  <si>
    <t>MIL01B_,</t>
  </si>
  <si>
    <t>MIL01B_ACD5.19</t>
  </si>
  <si>
    <t>MIL01B_ACD5.20</t>
  </si>
  <si>
    <t>MIL01B_ACD5.21</t>
  </si>
  <si>
    <t>MIL01B_ACD5.22</t>
  </si>
  <si>
    <t>MIL01B_ACD6.01</t>
  </si>
  <si>
    <t>MIL01B_ACD6.02</t>
  </si>
  <si>
    <t>MIL01B_ACD6.03</t>
  </si>
  <si>
    <t>MIL01B_Pilomat SU</t>
  </si>
  <si>
    <t>MIL01B_Pilomat GIU</t>
  </si>
  <si>
    <t>MIL01B_ACD7.21</t>
  </si>
  <si>
    <t>MIL01B_ACD7.23</t>
  </si>
  <si>
    <t>MIL01B_ACD7.22</t>
  </si>
  <si>
    <t>MIL01B_ACD7.18</t>
  </si>
  <si>
    <t>MIL01B_ACD7.20</t>
  </si>
  <si>
    <t>MIL01B_ACD7.16</t>
  </si>
  <si>
    <t>MIL01B_ACD7.17</t>
  </si>
  <si>
    <t>MIL01B_ACD7.19</t>
  </si>
  <si>
    <t>MIL01B_ACD7.13</t>
  </si>
  <si>
    <t>MIL01B_ACD7.14</t>
  </si>
  <si>
    <t>MIL01B_ACD7.15</t>
  </si>
  <si>
    <t>MIL01B_ACD7.09</t>
  </si>
  <si>
    <t>MIL01B_ACD7.10</t>
  </si>
  <si>
    <t>MIL01B_ACD7.12</t>
  </si>
  <si>
    <t>MIL01B_ACD7.06</t>
  </si>
  <si>
    <t>MIL01B_ACD7.11</t>
  </si>
  <si>
    <t>MIL01B_ACD7.08</t>
  </si>
  <si>
    <t>MIL01B_ACD7.03</t>
  </si>
  <si>
    <t>MIL01B_ACD7.07</t>
  </si>
  <si>
    <t>MIL01B_ACD7.05</t>
  </si>
  <si>
    <t>MIL01B_ACD7.02</t>
  </si>
  <si>
    <t>MIL01B_8.02</t>
  </si>
  <si>
    <t>MIL01B_7.04</t>
  </si>
  <si>
    <t>MIL01B_ACD8.05</t>
  </si>
  <si>
    <t>MIL01B_ACD7N.2</t>
  </si>
  <si>
    <t>MIL01B_ACD7N.1</t>
  </si>
  <si>
    <t>MIL01B_ACD7N.3 IN</t>
  </si>
  <si>
    <t>MIL01B_ACD7N.3 OUT</t>
  </si>
  <si>
    <t>MIL01B_F2.2</t>
  </si>
  <si>
    <t>MIL01B_F2.3</t>
  </si>
  <si>
    <t>MIL01B_F2.1</t>
  </si>
  <si>
    <t>MIL01B_F2.12</t>
  </si>
  <si>
    <t>MIL01B_F2.13</t>
  </si>
  <si>
    <t>MIL01B_F2.14</t>
  </si>
  <si>
    <t>MIL01B_F2.15</t>
  </si>
  <si>
    <t>MIL01B_F2.4</t>
  </si>
  <si>
    <t>MIL01B_F2.5</t>
  </si>
  <si>
    <t>MIL01B_F2.6</t>
  </si>
  <si>
    <t>MIL01B_F2.7</t>
  </si>
  <si>
    <t>MIL01B_F2.9</t>
  </si>
  <si>
    <r>
      <t xml:space="preserve">Accesso All'edificio MIL01B
</t>
    </r>
    <r>
      <rPr>
        <sz val="12"/>
        <rFont val="Calibri"/>
        <family val="2"/>
      </rPr>
      <t>Porta Ingresso angolo Equipment</t>
    </r>
  </si>
  <si>
    <r>
      <t xml:space="preserve">Accesso All'edificio MIL01B
</t>
    </r>
    <r>
      <rPr>
        <sz val="12"/>
        <rFont val="Calibri"/>
        <family val="2"/>
      </rPr>
      <t>PortaLanding Area</t>
    </r>
  </si>
  <si>
    <r>
      <t xml:space="preserve">Accesso All'edificio MIL01B
</t>
    </r>
    <r>
      <rPr>
        <sz val="12"/>
        <rFont val="Calibri"/>
        <family val="2"/>
      </rPr>
      <t>Porta Principale Frontale</t>
    </r>
  </si>
  <si>
    <t>ID313</t>
  </si>
  <si>
    <t>"HELD OPEN DOOR ALARMED"
"FORCED OPEN DOOR ALARMED"
msg
MIL01B_ACD4.05</t>
  </si>
  <si>
    <t>BG Sch</t>
  </si>
  <si>
    <t>BG Sch rimosso</t>
  </si>
  <si>
    <t xml:space="preserve">BG Sch  </t>
  </si>
  <si>
    <t>BG Sch + CIT</t>
  </si>
  <si>
    <t>**Alimentazione dei Badge Reader è la stessa della serratura; il LED dei Reader si attiva con il comando serratura.</t>
  </si>
  <si>
    <t>MIL01B_ACD7.01 (HOD)
MIL01B_W0_ACD7.01 IN
MIL01B_W1_ACD7.01 OUT</t>
  </si>
  <si>
    <t>"HELD OPEN DOOR ALARMED"
"FORCED OPEN DOOR ALARMED"
msg
MIL01B_ACD7.01</t>
  </si>
  <si>
    <t>DM20
MIL01B_ACD7.01</t>
  </si>
  <si>
    <t>Device di comando a cui sono collegati i lettori
**TIPO / Nome nell'albero dei device Suprema**</t>
  </si>
  <si>
    <t>"HELD OPEN DOOR ALARMED"
"FORCED OPEN DOOR ALARMED"
msg
MIL01B_ACD1.19</t>
  </si>
  <si>
    <t>MIL01B_ACD5.08 (HOD)
MIL01B_W0_ACD5.08 IN
MIL01B_W1_ACD5.08 OUT</t>
  </si>
  <si>
    <t>"HELD OPEN DOOR ALARMED"
"FORCED OPEN DOOR ALARMED"
msg
MIL01B_ACD5.08</t>
  </si>
  <si>
    <r>
      <t xml:space="preserve">Locale:
HOD&amp;FOD Alarm =
Output 3 di MIL01B_ACD1.19 (DM20)
</t>
    </r>
    <r>
      <rPr>
        <b/>
        <sz val="12"/>
        <color theme="1"/>
        <rFont val="Calibri"/>
        <family val="2"/>
      </rPr>
      <t>**Signal = HOD_Stack_20s ; 
**Si accendono Led e Buzzer **
TEST OK 28/09/2025</t>
    </r>
    <r>
      <rPr>
        <sz val="12"/>
        <color theme="1"/>
        <rFont val="Calibri"/>
        <family val="2"/>
      </rPr>
      <t xml:space="preserve">
</t>
    </r>
  </si>
  <si>
    <r>
      <t>Locale:
HOD&amp;FOD Alarm =
Output 0 di MIL01B_ACD4.05 (DM20)
**</t>
    </r>
    <r>
      <rPr>
        <b/>
        <sz val="12"/>
        <color theme="1"/>
        <rFont val="Calibri"/>
        <family val="2"/>
      </rPr>
      <t>E' solo Virtuale; non c'era il filo</t>
    </r>
    <r>
      <rPr>
        <sz val="12"/>
        <color theme="1"/>
        <rFont val="Calibri"/>
        <family val="2"/>
      </rPr>
      <t xml:space="preserve">**
</t>
    </r>
    <r>
      <rPr>
        <b/>
        <sz val="14"/>
        <color theme="1"/>
        <rFont val="Calibri"/>
        <family val="2"/>
      </rPr>
      <t>NON POTRA' MAI SUONARE LOCALMENTE</t>
    </r>
    <r>
      <rPr>
        <sz val="12"/>
        <color theme="1"/>
        <rFont val="Calibri"/>
        <family val="2"/>
      </rPr>
      <t xml:space="preserve">
</t>
    </r>
  </si>
  <si>
    <r>
      <t xml:space="preserve">Locale:
HOD&amp;FOD Alarm =
Output 0 di MIL01B_ACD7.01 (DM20)
</t>
    </r>
    <r>
      <rPr>
        <b/>
        <sz val="12"/>
        <color theme="1"/>
        <rFont val="Calibri"/>
        <family val="2"/>
      </rPr>
      <t>**Signal = HOD_Stack_20s ; 
**Si accendono Led e Buzzer **
TEST OK 28/09/2025</t>
    </r>
    <r>
      <rPr>
        <sz val="12"/>
        <color theme="1"/>
        <rFont val="Calibri"/>
        <family val="2"/>
      </rPr>
      <t xml:space="preserve">
</t>
    </r>
  </si>
  <si>
    <t>da dare</t>
  </si>
  <si>
    <t>da fare</t>
  </si>
  <si>
    <t>Quadro ACP in cui è contenuto il device di comando
*Blu se quadro Master</t>
  </si>
  <si>
    <t>MIL01C</t>
  </si>
  <si>
    <t>? 740 o 176</t>
  </si>
  <si>
    <t>? 740 o 177</t>
  </si>
  <si>
    <t>? 740 o 178</t>
  </si>
  <si>
    <t>BG XPD2</t>
  </si>
  <si>
    <t>ID421</t>
  </si>
  <si>
    <t>ID422</t>
  </si>
  <si>
    <t>ID424</t>
  </si>
  <si>
    <t>ID425</t>
  </si>
  <si>
    <t>ID426</t>
  </si>
  <si>
    <t>ID427</t>
  </si>
  <si>
    <t>ID429</t>
  </si>
  <si>
    <r>
      <rPr>
        <sz val="12"/>
        <color rgb="FFFF0000"/>
        <rFont val="Calibri"/>
        <family val="2"/>
        <scheme val="minor"/>
      </rPr>
      <t>Acceso DataHall Sett.3</t>
    </r>
    <r>
      <rPr>
        <sz val="12"/>
        <color rgb="FF000000"/>
        <rFont val="Calibri"/>
        <family val="2"/>
        <scheme val="minor"/>
      </rPr>
      <t xml:space="preserve">
Ingresso DH lato dx Mil01b</t>
    </r>
  </si>
  <si>
    <r>
      <rPr>
        <sz val="12"/>
        <color rgb="FFFF0000"/>
        <rFont val="Calibri"/>
        <family val="2"/>
        <scheme val="minor"/>
      </rPr>
      <t>Acceso DataHall Sett.3</t>
    </r>
    <r>
      <rPr>
        <sz val="12"/>
        <color rgb="FF000000"/>
        <rFont val="Calibri"/>
        <family val="2"/>
        <scheme val="minor"/>
      </rPr>
      <t xml:space="preserve">
Datahall in basso a destro…</t>
    </r>
  </si>
  <si>
    <r>
      <rPr>
        <sz val="12"/>
        <color rgb="FFFF0000"/>
        <rFont val="Calibri"/>
        <family val="2"/>
        <scheme val="minor"/>
      </rPr>
      <t>Acceso DataHall Sett.4</t>
    </r>
    <r>
      <rPr>
        <sz val="12"/>
        <color rgb="FF000000"/>
        <rFont val="Calibri"/>
        <family val="2"/>
        <scheme val="minor"/>
      </rPr>
      <t xml:space="preserve">
Datahall in basso sx da inress…</t>
    </r>
  </si>
  <si>
    <r>
      <t xml:space="preserve">Locale:
HOD&amp;FOD Alarm =
Output 0 di MIL01B_ACP2.1
*Signal "HOD_Stack_20s"
</t>
    </r>
    <r>
      <rPr>
        <b/>
        <i/>
        <sz val="12"/>
        <color theme="1"/>
        <rFont val="Calibri"/>
        <family val="2"/>
      </rPr>
      <t>**Stesso Output del BEEP del lettore badge**</t>
    </r>
  </si>
  <si>
    <r>
      <t xml:space="preserve">Locale:
HOD&amp;FOD Alarm =
Output 0 di MIL01B_ACP2.2 (DM20)
*Signal "HOD_Stack_20s"
</t>
    </r>
    <r>
      <rPr>
        <b/>
        <i/>
        <sz val="12"/>
        <color theme="1"/>
        <rFont val="Calibri"/>
        <family val="2"/>
      </rPr>
      <t>**Stesso Output del BEEP del lettore badge**</t>
    </r>
  </si>
  <si>
    <t>"HELD OPEN DOOR ALARMED"
"FORCED OPEN DOOR ALARMED"
msg
MIL01B_ACP2.1</t>
  </si>
  <si>
    <t>"HELD OPEN DOOR ALARMED"
"FORCED OPEN DOOR ALARMED"
msg
MIL01B_ACP2.2 (DM20)</t>
  </si>
  <si>
    <t>MIL01B_ACD2.01 (HOD)
MIL01B_ACD2.01
XXXXXXX</t>
  </si>
  <si>
    <t>MIL01B_ACD2.05
MIL01B_ACD2.05
XXXXXXXX</t>
  </si>
  <si>
    <t>DM20(A)</t>
  </si>
  <si>
    <t>DM20(B)</t>
  </si>
  <si>
    <t>"EVAC MIL01A"</t>
  </si>
  <si>
    <t>RS485,RLY(0)</t>
  </si>
  <si>
    <t>WO,RLY(2)</t>
  </si>
  <si>
    <t>W2,RLY2OUT,OUT4</t>
  </si>
  <si>
    <t>RS485(3),RLY3IN</t>
  </si>
  <si>
    <t>RS485,RLY(0)IN</t>
  </si>
  <si>
    <t>WO,RLY(2)EXIT</t>
  </si>
  <si>
    <t>MIL01A-GR1CarraioIN</t>
  </si>
  <si>
    <t>MIL01A-GR2-CarraioOUT</t>
  </si>
  <si>
    <t>MIL01A-GR1PedIN</t>
  </si>
  <si>
    <r>
      <t xml:space="preserve">Locale:
HOD&amp;FOD Alarm =
Output 3 di MIL01B_ACP F2.5(DM20A)
*Signal "HOD_Stack_20s"
**Stesso Output del BEEP del lettore badge**
</t>
    </r>
    <r>
      <rPr>
        <b/>
        <sz val="12"/>
        <color theme="1"/>
        <rFont val="Calibri"/>
        <family val="2"/>
        <scheme val="minor"/>
      </rPr>
      <t>SUONA!</t>
    </r>
    <r>
      <rPr>
        <sz val="12"/>
        <color theme="1"/>
        <rFont val="Calibri"/>
        <family val="2"/>
        <scheme val="minor"/>
      </rPr>
      <t xml:space="preserve">
</t>
    </r>
  </si>
  <si>
    <t>"HELD OPEN DOOR ALARMED"
"FORCED OPEN DOOR ALARMED"
msg
MIL01B_ACP F2.4(DM20B) -HOD CAF2.8-</t>
  </si>
  <si>
    <t>"HELD OPEN DOOR ALARMED"
"FORCED OPEN DOOR ALARMED"
msg
MIL01B_ACP F2.5(DM20A) - HOD CAF2.10 -</t>
  </si>
  <si>
    <t>Sliidng Door Interna</t>
  </si>
  <si>
    <t>Sliding Door Esterna</t>
  </si>
  <si>
    <t>BG (4.23W0)</t>
  </si>
  <si>
    <t>BG exit 4.21_W1</t>
  </si>
  <si>
    <t>Rele della 4.23 slliding esterna</t>
  </si>
  <si>
    <t>ma solo W0 del lettoer esterno</t>
  </si>
  <si>
    <t>4.21_W0</t>
  </si>
  <si>
    <t>(questo 4.21_W1 in realta è sullaporta 4.23)</t>
  </si>
  <si>
    <t>Corridoio Nord RED</t>
  </si>
  <si>
    <t>BG HID RImosso</t>
  </si>
  <si>
    <t>BG attivi</t>
  </si>
  <si>
    <t>BG Sch Rimosso</t>
  </si>
  <si>
    <t>Antipassback</t>
  </si>
  <si>
    <t>Antoipassback</t>
  </si>
  <si>
    <t>"EVAC CAMPUS MIL01"</t>
  </si>
  <si>
    <r>
      <t xml:space="preserve">MIL01A-CR1004 (HOD)
-----------------------------------
MIL01A_(ACP2.15_W0)_CR1004 IN </t>
    </r>
    <r>
      <rPr>
        <b/>
        <sz val="12"/>
        <color rgb="FFFF0000"/>
        <rFont val="Calibri"/>
        <family val="2"/>
      </rPr>
      <t>*EVAC IN*</t>
    </r>
    <r>
      <rPr>
        <sz val="12"/>
        <color theme="1"/>
        <rFont val="Calibri"/>
        <family val="2"/>
      </rPr>
      <t xml:space="preserve">
MIL01A_(ACP2.15_W1)_CR1004 OUT
</t>
    </r>
    <r>
      <rPr>
        <b/>
        <sz val="12"/>
        <color rgb="FFFF0000"/>
        <rFont val="Calibri"/>
        <family val="2"/>
      </rPr>
      <t>*EVAC OUT*</t>
    </r>
  </si>
  <si>
    <r>
      <t xml:space="preserve">MIL01A_CR-04-01 (HOD)
---------------------------------------------
CR04-01 IN (W0) </t>
    </r>
    <r>
      <rPr>
        <b/>
        <sz val="12"/>
        <color rgb="FFFF0000"/>
        <rFont val="Calibri"/>
        <family val="2"/>
      </rPr>
      <t>*EVAC IN*</t>
    </r>
    <r>
      <rPr>
        <sz val="12"/>
        <color theme="1"/>
        <rFont val="Calibri"/>
        <family val="2"/>
      </rPr>
      <t xml:space="preserve">
CR04-01 OUT (RS0) </t>
    </r>
    <r>
      <rPr>
        <b/>
        <sz val="12"/>
        <color rgb="FFFF0000"/>
        <rFont val="Calibri"/>
        <family val="2"/>
      </rPr>
      <t>*EVAC OUT*</t>
    </r>
  </si>
  <si>
    <t>MIL01A_CR800 TornCent. IN
---------------------------------------
MIL01A_(ACP5.13)_CR800 TornelloCentrale IN</t>
  </si>
  <si>
    <t>MIL01A_CR800 TornCent. OUT
----------------------------------------------
MIL01A_(ACP5.13_W0)_CR800Exit</t>
  </si>
  <si>
    <t>MIL01A_CR802 Torn.SX OUT
---------------------------------------------
MIL01A_(ACP5.12_Bio)_CR802 TorenelloSX IN</t>
  </si>
  <si>
    <t>MIL01A_CR802 Torn.SX IN
----------------------------------------------------
MIL01A_(ACP5.12_Bio)_CR802EXIT</t>
  </si>
  <si>
    <t>MIL01A_CR803
-------------------------------------------
MIL01A_(ACP5.12_Bio)_CR803
MIL01A_(ACP5.12_W1)_CR803Exit</t>
  </si>
  <si>
    <t>MIL01A_CR807_TornelloDX IN
----------------------------------------------
MIL01A_(ACP5.14_W2)_CR807 TornelloExit</t>
  </si>
  <si>
    <t>MIL01A_CR807_TornelloDX OUT
---------------------------------------------
MIL01A_(ACP5.14_Bio)_CR807 TornelloDX IN</t>
  </si>
  <si>
    <t>MIL01A-CR07-02-1 (HOD)
-----------------------------------------------------
MIL01A_(ACP7.01_W0)_CR07-02-1
XXXXXX</t>
  </si>
  <si>
    <t>ID245</t>
  </si>
  <si>
    <t>CR-04-01</t>
  </si>
  <si>
    <t>MIL01B_ACD1.20+CIT
---------------------------------------
MIL01B_W1_ACD1.20_IN
XXXXXXXXXXXX</t>
  </si>
  <si>
    <t>MIL01B_ACD1.19 (HOD)
---------------------------------------
MIL01B_W0_ACD1.19 IN
MIL01B_W1_ACD1.19 OUT</t>
  </si>
  <si>
    <t>MIL01B_ACD4.05 (HOD)
---------------------------------------
MIL01B_W0_ACD4.05 IN
MIL01B_W0_ACD4.05 OUT</t>
  </si>
  <si>
    <t>MIL01B_ACD5.04 TornSX IN (EVAC)
---------------------------------------
MIL01B_Bio_ACD5.04 Torn.In</t>
  </si>
  <si>
    <t xml:space="preserve">
MIL01B_ACD5.04 TornSX OUT (EVAC)
---------------------------------------
MIL01B_W1_ACD5.04OUT
</t>
  </si>
  <si>
    <t>MIL01B_ACD5.06 TornCent. IN (EVAC)
---------------------------------------
MIL01B_Bio_ACD5.06 Torn.In</t>
  </si>
  <si>
    <t>MIL01B_ACD5.06 TornCent. OUT (EVAC)
---------------------------------------
MIL01B_W1_ACD5.06</t>
  </si>
  <si>
    <t>MIL01B_ACD5.10 TornDX IN (EVAC)
---------------------------------------
MIL01B_ACD5.10 Torn IN</t>
  </si>
  <si>
    <t>MIL01B_ACD5.10 TornDX OUT (EVAC)
---------------------------------------
MIL01B_ACD5.10 TornDX OUT</t>
  </si>
  <si>
    <t>MIL01B_ACD6.04 IN
---------------------------------------
MIL01B_ACD6.04</t>
  </si>
  <si>
    <t>MIL01B_ACD6.05 OUT
---------------------------------------
MIL01B_ACD6.05</t>
  </si>
  <si>
    <t>"EVAC MIL01B"</t>
  </si>
  <si>
    <r>
      <t xml:space="preserve">Accesso All'edificio MIL01A
</t>
    </r>
    <r>
      <rPr>
        <sz val="12"/>
        <rFont val="Calibri"/>
        <family val="2"/>
      </rPr>
      <t>Tornello centrale IN</t>
    </r>
  </si>
  <si>
    <r>
      <t xml:space="preserve">Accesso All'edificio MIL01A
</t>
    </r>
    <r>
      <rPr>
        <sz val="12"/>
        <rFont val="Calibri"/>
        <family val="2"/>
      </rPr>
      <t>Tornello centrale OUT</t>
    </r>
  </si>
  <si>
    <r>
      <t xml:space="preserve">Accesso All'edificio MIL01A
</t>
    </r>
    <r>
      <rPr>
        <sz val="12"/>
        <rFont val="Calibri"/>
        <family val="2"/>
      </rPr>
      <t>PortaNear Tornello Centrale</t>
    </r>
  </si>
  <si>
    <r>
      <t xml:space="preserve">
Accesso All'edificio MIL01A
</t>
    </r>
    <r>
      <rPr>
        <sz val="12"/>
        <rFont val="Calibri"/>
        <family val="2"/>
      </rPr>
      <t>Tornello SX OUT</t>
    </r>
  </si>
  <si>
    <r>
      <t xml:space="preserve">Accesso All'edificio MIL01A
</t>
    </r>
    <r>
      <rPr>
        <sz val="12"/>
        <rFont val="Calibri"/>
        <family val="2"/>
      </rPr>
      <t>Tornello SX IN</t>
    </r>
  </si>
  <si>
    <r>
      <t xml:space="preserve">Accesso All'edificio MIL01A
</t>
    </r>
    <r>
      <rPr>
        <sz val="12"/>
        <rFont val="Calibri"/>
        <family val="2"/>
      </rPr>
      <t>PortaNearTornello SX</t>
    </r>
  </si>
  <si>
    <r>
      <t xml:space="preserve">Accesso All'edificio MIL01A
</t>
    </r>
    <r>
      <rPr>
        <sz val="12"/>
        <rFont val="Calibri"/>
        <family val="2"/>
      </rPr>
      <t>Tornello DX IN</t>
    </r>
  </si>
  <si>
    <r>
      <t xml:space="preserve">Accesso All'edificio MIL01A
</t>
    </r>
    <r>
      <rPr>
        <sz val="12"/>
        <rFont val="Calibri"/>
        <family val="2"/>
      </rPr>
      <t>Tornello DX OUT</t>
    </r>
  </si>
  <si>
    <r>
      <t xml:space="preserve">Accesso All'edificio MIL01A
</t>
    </r>
    <r>
      <rPr>
        <sz val="12"/>
        <rFont val="Calibri"/>
        <family val="2"/>
      </rPr>
      <t>PortaNearTornello DX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</si>
  <si>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rFont val="Calibri"/>
        <family val="2"/>
        <scheme val="minor"/>
      </rPr>
      <t>EntrataUfficiCiops MIL01A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</si>
  <si>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SX IN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</si>
  <si>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SX OUT</t>
    </r>
  </si>
  <si>
    <r>
      <t xml:space="preserve">Accesso All'edificio MIL01B
</t>
    </r>
    <r>
      <rPr>
        <sz val="12"/>
        <rFont val="Calibri"/>
        <family val="2"/>
        <scheme val="minor"/>
      </rPr>
      <t>Porta laterale Tornello SX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</si>
  <si>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Centrale IN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</si>
  <si>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Centrale OUT</t>
    </r>
  </si>
  <si>
    <r>
      <t xml:space="preserve">Accesso All'edificio MIL01B
</t>
    </r>
    <r>
      <rPr>
        <sz val="12"/>
        <rFont val="Calibri"/>
        <family val="2"/>
        <scheme val="minor"/>
      </rPr>
      <t>Porta laterale Tornello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</si>
  <si>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DX IN</t>
    </r>
  </si>
  <si>
    <r>
      <rPr>
        <sz val="12"/>
        <color rgb="FFFF0000"/>
        <rFont val="Calibri"/>
        <family val="2"/>
        <scheme val="minor"/>
      </rPr>
      <t xml:space="preserve">Accesso All'edificio MIL01B
</t>
    </r>
    <r>
      <rPr>
        <sz val="12"/>
        <color rgb="FF000000"/>
        <rFont val="Calibri"/>
        <family val="2"/>
        <scheme val="minor"/>
      </rPr>
      <t>Tornello DX OUT</t>
    </r>
  </si>
  <si>
    <r>
      <t xml:space="preserve">Accesso All'edificio MIL01B
</t>
    </r>
    <r>
      <rPr>
        <sz val="12"/>
        <rFont val="Calibri"/>
        <family val="2"/>
        <scheme val="minor"/>
      </rPr>
      <t>Porta laterale Tornello DX</t>
    </r>
  </si>
  <si>
    <r>
      <t xml:space="preserve">Accesso All'edificio MIL01B
</t>
    </r>
    <r>
      <rPr>
        <sz val="12"/>
        <rFont val="Calibri"/>
        <family val="2"/>
        <scheme val="minor"/>
      </rPr>
      <t>ReceivingFloyd CIT</t>
    </r>
  </si>
  <si>
    <r>
      <t xml:space="preserve">Accesso All'edificio MIL01B
</t>
    </r>
    <r>
      <rPr>
        <sz val="12"/>
        <rFont val="Calibri"/>
        <family val="2"/>
        <scheme val="minor"/>
      </rPr>
      <t>Porta Floyd Verso Power Module</t>
    </r>
  </si>
  <si>
    <r>
      <rPr>
        <sz val="12"/>
        <color rgb="FFFF0000"/>
        <rFont val="Calibri"/>
        <family val="2"/>
      </rPr>
      <t>Accesso All'area Campus</t>
    </r>
    <r>
      <rPr>
        <sz val="12"/>
        <color theme="1"/>
        <rFont val="Calibri"/>
        <family val="2"/>
      </rPr>
      <t xml:space="preserve">
Carraio 1  Entrata</t>
    </r>
  </si>
  <si>
    <r>
      <rPr>
        <sz val="12"/>
        <color rgb="FFFF0000"/>
        <rFont val="Calibri"/>
        <family val="2"/>
      </rPr>
      <t>Accesso All'area Campus</t>
    </r>
    <r>
      <rPr>
        <sz val="12"/>
        <color theme="1"/>
        <rFont val="Calibri"/>
        <family val="2"/>
      </rPr>
      <t xml:space="preserve">
PedonaleSud  L1A</t>
    </r>
  </si>
  <si>
    <r>
      <rPr>
        <sz val="12"/>
        <color rgb="FFFF0000"/>
        <rFont val="Calibri"/>
        <family val="2"/>
      </rPr>
      <t xml:space="preserve">Accesso All'area Campus
</t>
    </r>
    <r>
      <rPr>
        <sz val="12"/>
        <color theme="1"/>
        <rFont val="Calibri"/>
        <family val="2"/>
      </rPr>
      <t>Carraio 1 Uscita</t>
    </r>
  </si>
  <si>
    <r>
      <rPr>
        <sz val="12"/>
        <color rgb="FFFF0000"/>
        <rFont val="Calibri"/>
        <family val="2"/>
        <scheme val="minor"/>
      </rPr>
      <t xml:space="preserve">Accesso All'area Campus
</t>
    </r>
    <r>
      <rPr>
        <sz val="12"/>
        <color rgb="FF000000"/>
        <rFont val="Calibri"/>
        <family val="2"/>
        <scheme val="minor"/>
      </rPr>
      <t>Entrata Cancello Mil01b</t>
    </r>
  </si>
  <si>
    <r>
      <rPr>
        <sz val="12"/>
        <color rgb="FFFF0000"/>
        <rFont val="Calibri"/>
        <family val="2"/>
        <scheme val="minor"/>
      </rPr>
      <t xml:space="preserve">Accesso All'area Campus
</t>
    </r>
    <r>
      <rPr>
        <sz val="12"/>
        <color rgb="FF000000"/>
        <rFont val="Calibri"/>
        <family val="2"/>
        <scheme val="minor"/>
      </rPr>
      <t>Uscita Cancello MIL01B</t>
    </r>
  </si>
  <si>
    <t>MIL01B_ACD5.09 (HOD&amp;EVAC)
---------------------------------------
MIL01B_Bio_ACD5.09 IN
MIL01B_W0_ACD5.09 OUT</t>
  </si>
  <si>
    <t>RS485,W0,RLY0,IN0</t>
  </si>
  <si>
    <t>BG Suprema 
RS485 da montare</t>
  </si>
  <si>
    <t xml:space="preserve">MIL01B_ACD5.03 (HOD&amp;EVAC)
---------------------------------------
MIL01B_Bio_ACD5.03
MIL01B_ACD5.03OUT
</t>
  </si>
  <si>
    <t>MIL01B_ACD5.07 (HOD&amp;EVAC)
---------------------------------------
MIL01B_Bio_ACD5.07 IN
MIL01B_ACD5.07OUT</t>
  </si>
  <si>
    <t>MIL01B_ACD_FL2
--------------------------------------
MIL01B_Bio_FL2</t>
  </si>
  <si>
    <t>Locale:
HOD&amp;FOD Alarm =
Alert Sound MIL01B_Bio_ACD5.07IN</t>
  </si>
  <si>
    <t>CM NC
Riparato 24/11/25</t>
  </si>
  <si>
    <t>TEST HOD OK
24/11/25</t>
  </si>
  <si>
    <t>W0,RLY0,IN0,OUT0,OUT1
(Il secondo Lettore Wiegand è in parallelo
sulla W0)</t>
  </si>
  <si>
    <t>MIL01B_ACD5.05
MIL01B_W0_ACD5.05(IN&amp;OUT)
***2 lettori sulla Wiegand0</t>
  </si>
  <si>
    <t>"HELD OPEN DOOR ALARMED" 30sec
"FORCED OPEN DOOR ALARMED"
msg
MIL01B_ACD5.07</t>
  </si>
  <si>
    <t xml:space="preserve">"HELD OPEN DOOR ALARMED" 30sec
"FORCED OPEN DOOR ALARMED"
msg
MIL01B_ACD5.03&amp;FL2 </t>
  </si>
  <si>
    <t>"HELD OPEN DOOR ALARMED" 30sec
"FORCED OPEN DOOR ALARMED"
msg
MIL01B_ACD5.09</t>
  </si>
  <si>
    <t>"HELD OPEN DOOR ALARMED" 30sec
"FORCED OPEN DOOR ALARMED"
msg
MIL01B_ACD5.05</t>
  </si>
  <si>
    <t>W1,RLY2,IN6,OUT3
(2 lettori collegati in parallelo 
sulla W1)</t>
  </si>
  <si>
    <t xml:space="preserve">MIL01B_CAFF2.8
---------------------------------------
MIL01B_W1_CAF2.8 IN&amp;OUT
(2 lettori in parallelo manca cavo)
</t>
  </si>
  <si>
    <t xml:space="preserve">"EVAC MIL01B"
(Non si può)
</t>
  </si>
  <si>
    <t>MIL01B_CAF2.10
---------------------------------------
MIL01B_W1_CAF2.10 IN
(2 lettori in parallelo manca cavo)</t>
  </si>
  <si>
    <t>Locale:
HOD&amp;FOD Alarm =
Output 3 di MIL01B_ACP F2.4(DM20B)
*Signal "HOD_Stack_20s"
**Stesso Output del BEEP del lettore badge**</t>
  </si>
  <si>
    <t>W0,RLY0,IN2,OUT0
(2 lettori collegati in parallelo 
sulla W0)</t>
  </si>
  <si>
    <t>MIL01B_F2.11
---------------------------------
(2 lettori in parallelo manca cavo)</t>
  </si>
  <si>
    <t>DM20(A)
MIL01B_ACP F2.5(DM20A) HOD CAF2.10</t>
  </si>
  <si>
    <t>MANCA SECONDO BADFGE - AREA  MOICROSOFT</t>
  </si>
  <si>
    <t>TEST HOD OK
15/10/2025</t>
  </si>
  <si>
    <t>E' un corridoio senza porte verso la DATAHALL che è sigillate</t>
  </si>
  <si>
    <t>W0,RLY0,IN0,OUT0
**2 lettorei sulla wiegando W0</t>
  </si>
  <si>
    <t>Suggerito per Mil01B Dh</t>
  </si>
  <si>
    <t>MIL01C_I. 03-03 Oracle
MIL01C_PIN(ACP2.5RS0)_I.03-03 IN
MIL01C_PIN(ACP2.5RS0)_I.03-03 OUT</t>
  </si>
  <si>
    <t>MIL01C_I. 03-06 Oracle
MIL01C_PIN(ACP2.5RS1)_I.03-06 IN
MIL01C_PIN(ACP2.5RS0)_I.03-06 OUT</t>
  </si>
  <si>
    <r>
      <t xml:space="preserve">Locale:
HOD&amp;FOD Alarm =
</t>
    </r>
    <r>
      <rPr>
        <b/>
        <sz val="12"/>
        <color theme="1"/>
        <rFont val="Calibri"/>
        <family val="2"/>
      </rPr>
      <t>Sirena</t>
    </r>
    <r>
      <rPr>
        <sz val="12"/>
        <color theme="1"/>
        <rFont val="Calibri"/>
        <family val="2"/>
      </rPr>
      <t xml:space="preserve"> 
OUT 0 MIL01C_ACP2.6
(Signal = "HOD Stack 20s")</t>
    </r>
  </si>
  <si>
    <r>
      <t xml:space="preserve">Locale:
HOD&amp;FOD Alarm =
</t>
    </r>
    <r>
      <rPr>
        <b/>
        <sz val="12"/>
        <color theme="1"/>
        <rFont val="Calibri"/>
        <family val="2"/>
      </rPr>
      <t>Sirena</t>
    </r>
    <r>
      <rPr>
        <sz val="12"/>
        <color theme="1"/>
        <rFont val="Calibri"/>
        <family val="2"/>
      </rPr>
      <t xml:space="preserve"> 
OUT 1 MIL01C_ACP2.5
(Signal = "HOD Stack 20s")</t>
    </r>
  </si>
  <si>
    <t>"HELD OPEN DOOR ALARMED"
"FORCED OPEN DOOR ALARMED"
msg
MIL01C_ACP2-05</t>
  </si>
  <si>
    <t>"HELD OPEN DOOR ALARMED"
"FORCED OPEN DOOR ALARMED"
msg
MIL01C_ACP2-06</t>
  </si>
  <si>
    <t>Floyd1 
Area ingresso</t>
  </si>
  <si>
    <t>MainTrap Ingresso</t>
  </si>
  <si>
    <t>Corestation</t>
  </si>
  <si>
    <t>Dettaglio colelgamento Dei Device al controller di coomand.Seriale Controller e Posizione</t>
  </si>
  <si>
    <t>TEST HOD OK
23/01/2026</t>
  </si>
  <si>
    <t>CM NC
Riparato 22/01/26</t>
  </si>
  <si>
    <t>W0,W1,RLY0,IN2,OUT0,OUT1</t>
  </si>
  <si>
    <t>cambiato CM su In2
23/01/26</t>
  </si>
  <si>
    <r>
      <t>Locale:
HOD&amp;FOD Alarm =
Output 0 di MIL01B_ACD5.05
*Signal "HOD_Stack_20s"
**Stesso Output del BEEP del lettore badge*</t>
    </r>
    <r>
      <rPr>
        <b/>
        <sz val="12"/>
        <color theme="1"/>
        <rFont val="Calibri"/>
        <family val="2"/>
      </rPr>
      <t>*
I BADGE suonano</t>
    </r>
  </si>
  <si>
    <r>
      <t xml:space="preserve">Locale:
HOD&amp;FOD Alarm =
Alert Sound MIL01B_Bio_ACD5.09
</t>
    </r>
    <r>
      <rPr>
        <b/>
        <sz val="12"/>
        <color theme="1"/>
        <rFont val="Calibri"/>
        <family val="2"/>
      </rPr>
      <t>Suono OK</t>
    </r>
  </si>
  <si>
    <r>
      <t xml:space="preserve">Locale:
HOD&amp;FOD Alarm =
Alert Sound MIL01B_Bio_ACD5.03
</t>
    </r>
    <r>
      <rPr>
        <b/>
        <sz val="12"/>
        <color theme="1"/>
        <rFont val="Calibri"/>
        <family val="2"/>
      </rPr>
      <t>Suona!</t>
    </r>
  </si>
  <si>
    <r>
      <t>Locale:
HOD&amp;FOD Alarm =
Output 0 di MIL01B_ACD5.08 (DM20)
*Signal "HOD_Stack_20s"
I</t>
    </r>
    <r>
      <rPr>
        <b/>
        <sz val="12"/>
        <color theme="1"/>
        <rFont val="Calibri"/>
        <family val="2"/>
      </rPr>
      <t xml:space="preserve"> BADGE SUONANO</t>
    </r>
  </si>
  <si>
    <t>BG SCH</t>
  </si>
  <si>
    <t>BG SCH
 + RLY CIT (10.245.140.73)</t>
  </si>
  <si>
    <t>BG SCH
 + RLY CIT (10.245.140.74)</t>
  </si>
  <si>
    <t>BG SCH
 + RLY CIT (10.245.140.75)</t>
  </si>
  <si>
    <t>BM
+ RLY CIT (10.245.140.72)</t>
  </si>
  <si>
    <t>Citofono IN6
 + RLY CIT (10.245.140.71)</t>
  </si>
  <si>
    <t>ACP3.3</t>
  </si>
  <si>
    <t>ACP3.4</t>
  </si>
  <si>
    <t>ACP4.5</t>
  </si>
  <si>
    <t>Fire Alarm 
MUSTER ZONE
**Porta presente in elenco della
Muster Zone indicata**</t>
  </si>
  <si>
    <t>Pilomat Unico Pulsante
 per Entrata/Uscita SU e GIU</t>
  </si>
  <si>
    <t>ID 343</t>
  </si>
  <si>
    <t>ID339</t>
  </si>
  <si>
    <t>ID438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</si>
</sst>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i/>
      <sz val="12"/>
      <color theme="9" tint="-0.249977111117893"/>
      <name val="Calibri"/>
      <family val="2"/>
      <scheme val="minor"/>
    </font>
    <font>
      <b/>
      <i/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6"/>
      <color theme="1"/>
      <name val="Calibri (Corpo)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Corpo)"/>
    </font>
    <font>
      <b/>
      <sz val="18"/>
      <color theme="1"/>
      <name val="Calibri"/>
      <family val="2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name val="Calibri"/>
      <family val="2"/>
    </font>
    <font>
      <b/>
      <i/>
      <sz val="12"/>
      <color theme="9" tint="-0.249977111117893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i/>
      <sz val="12"/>
      <name val="Calibri"/>
      <family val="2"/>
    </font>
    <font>
      <sz val="20"/>
      <color theme="1"/>
      <name val="Calibri"/>
      <family val="2"/>
    </font>
    <font>
      <b/>
      <sz val="8"/>
      <name val="Calibri"/>
      <family val="2"/>
    </font>
    <font>
      <b/>
      <sz val="16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name val="Calibri"/>
      <family val="2"/>
    </font>
    <font>
      <b/>
      <i/>
      <sz val="12"/>
      <color theme="9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00B0F0"/>
      <name val="Calibri"/>
      <family val="2"/>
      <scheme val="minor"/>
    </font>
    <font>
      <i/>
      <sz val="12"/>
      <color rgb="FFFFC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rgb="FFFF0000"/>
      <name val="Calibri"/>
      <family val="2"/>
    </font>
    <font>
      <b/>
      <i/>
      <sz val="12"/>
      <color rgb="FF000000"/>
      <name val="Calibri"/>
      <family val="2"/>
    </font>
    <font>
      <sz val="12"/>
      <color theme="0"/>
      <name val="Calibri"/>
      <family val="2"/>
    </font>
    <font>
      <b/>
      <i/>
      <sz val="12"/>
      <color theme="7" tint="0.39997558519241921"/>
      <name val="Calibri"/>
      <family val="2"/>
      <scheme val="minor"/>
    </font>
    <font>
      <b/>
      <i/>
      <sz val="12"/>
      <color rgb="FF7030A0"/>
      <name val="Calibri"/>
      <family val="2"/>
    </font>
    <font>
      <sz val="11"/>
      <color rgb="FF000000"/>
      <name val="Aptos Narrow"/>
      <family val="2"/>
    </font>
    <font>
      <b/>
      <sz val="20"/>
      <color theme="1"/>
      <name val="Calibri"/>
      <family val="2"/>
    </font>
    <font>
      <i/>
      <sz val="12"/>
      <color theme="1"/>
      <name val="Calibri"/>
      <family val="2"/>
    </font>
    <font>
      <b/>
      <sz val="22"/>
      <color theme="1"/>
      <name val="Calibri"/>
      <family val="2"/>
    </font>
    <font>
      <b/>
      <i/>
      <sz val="12"/>
      <name val="Calibri"/>
      <family val="2"/>
      <scheme val="minor"/>
    </font>
    <font>
      <strike/>
      <sz val="12"/>
      <color theme="1"/>
      <name val="Calibri"/>
      <family val="2"/>
    </font>
    <font>
      <strike/>
      <sz val="12"/>
      <color theme="1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strike/>
      <sz val="12"/>
      <name val="Calibri"/>
      <family val="2"/>
      <scheme val="minor"/>
    </font>
    <font>
      <i/>
      <strike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 (Corpo)"/>
    </font>
    <font>
      <sz val="12"/>
      <color rgb="FFFF0000"/>
      <name val="Calibri"/>
      <family val="2"/>
    </font>
    <font>
      <sz val="12"/>
      <name val="Calibri (Corpo)"/>
    </font>
    <font>
      <i/>
      <sz val="12"/>
      <name val="Calibri (Corpo)"/>
    </font>
    <font>
      <sz val="16"/>
      <color theme="0"/>
      <name val="Calibri"/>
      <family val="2"/>
    </font>
    <font>
      <i/>
      <sz val="16"/>
      <color theme="0"/>
      <name val="Calibri"/>
      <family val="2"/>
      <scheme val="minor"/>
    </font>
    <font>
      <i/>
      <sz val="16"/>
      <color theme="0"/>
      <name val="Calibri (Corpo)"/>
    </font>
    <font>
      <sz val="16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4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b/>
      <i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indexed="81"/>
      <name val="Tahoma"/>
      <family val="2"/>
    </font>
    <font>
      <b/>
      <sz val="14"/>
      <color theme="1"/>
      <name val="Calibri"/>
      <family val="2"/>
    </font>
    <font>
      <b/>
      <i/>
      <sz val="12"/>
      <color theme="1"/>
      <name val="Calibri"/>
      <family val="2"/>
    </font>
    <font>
      <b/>
      <sz val="16"/>
      <color theme="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3">
    <xf numFmtId="0" fontId="0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89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6" fillId="8" borderId="0" xfId="0" applyFont="1" applyFill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15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 wrapText="1"/>
    </xf>
    <xf numFmtId="0" fontId="1" fillId="16" borderId="8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16" borderId="10" xfId="0" applyFont="1" applyFill="1" applyBorder="1" applyAlignment="1">
      <alignment horizontal="center" vertical="center" wrapText="1"/>
    </xf>
    <xf numFmtId="0" fontId="1" fillId="16" borderId="18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5" fillId="8" borderId="0" xfId="0" applyFont="1" applyFill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0" fontId="26" fillId="8" borderId="0" xfId="0" applyFont="1" applyFill="1"/>
    <xf numFmtId="0" fontId="26" fillId="8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0" xfId="0" applyFill="1"/>
    <xf numFmtId="0" fontId="0" fillId="0" borderId="11" xfId="0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1" fillId="0" borderId="2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1" fillId="0" borderId="36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15" fillId="0" borderId="11" xfId="0" applyFont="1" applyBorder="1"/>
    <xf numFmtId="0" fontId="11" fillId="0" borderId="27" xfId="0" applyFont="1" applyBorder="1" applyAlignment="1">
      <alignment horizontal="center"/>
    </xf>
    <xf numFmtId="0" fontId="11" fillId="0" borderId="40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21" borderId="11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15" fillId="0" borderId="8" xfId="0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0" fillId="0" borderId="7" xfId="0" quotePrefix="1" applyBorder="1" applyAlignment="1">
      <alignment vertical="center" wrapText="1"/>
    </xf>
    <xf numFmtId="0" fontId="15" fillId="0" borderId="8" xfId="0" applyFont="1" applyBorder="1"/>
    <xf numFmtId="0" fontId="0" fillId="14" borderId="8" xfId="0" applyFill="1" applyBorder="1" applyAlignment="1">
      <alignment horizontal="center" vertical="center"/>
    </xf>
    <xf numFmtId="0" fontId="1" fillId="19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5" xfId="0" quotePrefix="1" applyBorder="1" applyAlignment="1">
      <alignment vertical="center" wrapText="1"/>
    </xf>
    <xf numFmtId="0" fontId="15" fillId="0" borderId="28" xfId="0" applyFont="1" applyBorder="1"/>
    <xf numFmtId="0" fontId="0" fillId="0" borderId="10" xfId="0" quotePrefix="1" applyBorder="1" applyAlignment="1">
      <alignment vertical="center" wrapText="1"/>
    </xf>
    <xf numFmtId="0" fontId="0" fillId="14" borderId="11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15" fillId="0" borderId="31" xfId="0" applyFont="1" applyBorder="1"/>
    <xf numFmtId="0" fontId="15" fillId="0" borderId="2" xfId="0" applyFont="1" applyBorder="1"/>
    <xf numFmtId="0" fontId="0" fillId="14" borderId="3" xfId="0" applyFill="1" applyBorder="1" applyAlignment="1">
      <alignment horizontal="center" vertical="center"/>
    </xf>
    <xf numFmtId="0" fontId="15" fillId="0" borderId="24" xfId="0" applyFont="1" applyBorder="1"/>
    <xf numFmtId="0" fontId="0" fillId="14" borderId="11" xfId="0" applyFill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" fillId="14" borderId="1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3" fontId="3" fillId="0" borderId="1" xfId="0" quotePrefix="1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27" xfId="0" applyBorder="1"/>
    <xf numFmtId="3" fontId="19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/>
    </xf>
    <xf numFmtId="16" fontId="33" fillId="0" borderId="0" xfId="0" applyNumberFormat="1" applyFont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4" xfId="0" quotePrefix="1" applyBorder="1" applyAlignment="1">
      <alignment vertical="center" wrapText="1"/>
    </xf>
    <xf numFmtId="0" fontId="11" fillId="0" borderId="11" xfId="0" applyFont="1" applyBorder="1" applyAlignment="1">
      <alignment horizontal="center"/>
    </xf>
    <xf numFmtId="0" fontId="0" fillId="0" borderId="21" xfId="0" quotePrefix="1" applyBorder="1" applyAlignment="1">
      <alignment vertical="center" wrapText="1"/>
    </xf>
    <xf numFmtId="0" fontId="15" fillId="0" borderId="21" xfId="0" applyFont="1" applyBorder="1"/>
    <xf numFmtId="0" fontId="2" fillId="14" borderId="21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8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11" fontId="3" fillId="0" borderId="1" xfId="0" quotePrefix="1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0" fillId="0" borderId="0" xfId="0" quotePrefix="1"/>
    <xf numFmtId="0" fontId="15" fillId="0" borderId="1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4" fillId="0" borderId="1" xfId="0" applyFont="1" applyBorder="1" applyAlignment="1">
      <alignment vertical="center" wrapText="1"/>
    </xf>
    <xf numFmtId="0" fontId="3" fillId="0" borderId="2" xfId="0" quotePrefix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15" fillId="11" borderId="1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15" fillId="23" borderId="1" xfId="0" applyFont="1" applyFill="1" applyBorder="1"/>
    <xf numFmtId="0" fontId="28" fillId="8" borderId="1" xfId="0" applyFont="1" applyFill="1" applyBorder="1" applyAlignment="1">
      <alignment horizontal="center"/>
    </xf>
    <xf numFmtId="3" fontId="0" fillId="0" borderId="0" xfId="0" applyNumberFormat="1"/>
    <xf numFmtId="0" fontId="1" fillId="2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0" fontId="11" fillId="12" borderId="25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8" fillId="11" borderId="2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15" fillId="18" borderId="0" xfId="0" applyFont="1" applyFill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/>
    </xf>
    <xf numFmtId="0" fontId="0" fillId="0" borderId="7" xfId="0" applyBorder="1" applyAlignment="1">
      <alignment vertical="center" wrapText="1"/>
    </xf>
    <xf numFmtId="0" fontId="21" fillId="0" borderId="8" xfId="0" applyFont="1" applyBorder="1" applyAlignment="1">
      <alignment horizontal="center" vertical="center"/>
    </xf>
    <xf numFmtId="0" fontId="0" fillId="0" borderId="25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23" borderId="11" xfId="0" applyFont="1" applyFill="1" applyBorder="1" applyAlignment="1">
      <alignment horizontal="center" vertical="center"/>
    </xf>
    <xf numFmtId="0" fontId="0" fillId="23" borderId="11" xfId="0" applyFill="1" applyBorder="1" applyAlignment="1">
      <alignment vertical="center"/>
    </xf>
    <xf numFmtId="0" fontId="15" fillId="23" borderId="11" xfId="0" applyFont="1" applyFill="1" applyBorder="1"/>
    <xf numFmtId="0" fontId="26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0" fillId="0" borderId="1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/>
    </xf>
    <xf numFmtId="0" fontId="15" fillId="21" borderId="8" xfId="0" applyFont="1" applyFill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1" xfId="0" applyFont="1" applyBorder="1"/>
    <xf numFmtId="0" fontId="41" fillId="0" borderId="1" xfId="0" applyFont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27" borderId="2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15" fillId="12" borderId="7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38" fillId="0" borderId="22" xfId="0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6" fillId="15" borderId="11" xfId="0" applyFont="1" applyFill="1" applyBorder="1" applyAlignment="1">
      <alignment horizontal="center"/>
    </xf>
    <xf numFmtId="0" fontId="1" fillId="19" borderId="2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 wrapText="1"/>
    </xf>
    <xf numFmtId="16" fontId="43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6" fillId="11" borderId="11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left"/>
    </xf>
    <xf numFmtId="0" fontId="19" fillId="0" borderId="0" xfId="0" applyFont="1" applyAlignment="1">
      <alignment horizontal="left" vertical="center"/>
    </xf>
    <xf numFmtId="0" fontId="2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" fillId="19" borderId="54" xfId="0" applyFont="1" applyFill="1" applyBorder="1" applyAlignment="1">
      <alignment horizontal="center" vertical="center" wrapText="1"/>
    </xf>
    <xf numFmtId="0" fontId="15" fillId="0" borderId="54" xfId="0" applyFont="1" applyBorder="1"/>
    <xf numFmtId="0" fontId="1" fillId="0" borderId="54" xfId="0" applyFont="1" applyBorder="1" applyAlignment="1">
      <alignment horizontal="center" vertical="center"/>
    </xf>
    <xf numFmtId="0" fontId="15" fillId="0" borderId="47" xfId="0" applyFont="1" applyBorder="1"/>
    <xf numFmtId="0" fontId="15" fillId="0" borderId="48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5" fillId="0" borderId="30" xfId="0" applyFont="1" applyBorder="1"/>
    <xf numFmtId="0" fontId="1" fillId="19" borderId="3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23" fillId="8" borderId="44" xfId="0" applyFont="1" applyFill="1" applyBorder="1" applyAlignment="1">
      <alignment horizontal="center" vertical="center" wrapText="1"/>
    </xf>
    <xf numFmtId="0" fontId="16" fillId="8" borderId="45" xfId="0" applyFont="1" applyFill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8" borderId="47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0" fillId="0" borderId="55" xfId="0" quotePrefix="1" applyBorder="1" applyAlignment="1">
      <alignment vertical="center" wrapText="1"/>
    </xf>
    <xf numFmtId="0" fontId="0" fillId="14" borderId="54" xfId="0" applyFill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0" fillId="0" borderId="54" xfId="0" applyBorder="1" applyAlignment="1">
      <alignment horizontal="center" vertical="center" wrapText="1"/>
    </xf>
    <xf numFmtId="0" fontId="0" fillId="0" borderId="54" xfId="0" applyBorder="1" applyAlignment="1">
      <alignment vertical="center"/>
    </xf>
    <xf numFmtId="0" fontId="15" fillId="0" borderId="54" xfId="0" applyFont="1" applyBorder="1" applyAlignment="1">
      <alignment horizontal="center" vertical="center"/>
    </xf>
    <xf numFmtId="0" fontId="15" fillId="0" borderId="56" xfId="0" applyFont="1" applyBorder="1"/>
    <xf numFmtId="0" fontId="11" fillId="0" borderId="34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" fillId="17" borderId="3" xfId="0" applyFont="1" applyFill="1" applyBorder="1" applyAlignment="1">
      <alignment horizontal="left" vertical="center"/>
    </xf>
    <xf numFmtId="0" fontId="11" fillId="17" borderId="3" xfId="0" applyFont="1" applyFill="1" applyBorder="1" applyAlignment="1">
      <alignment horizontal="left" vertical="center"/>
    </xf>
    <xf numFmtId="0" fontId="15" fillId="8" borderId="45" xfId="0" applyFont="1" applyFill="1" applyBorder="1" applyAlignment="1">
      <alignment horizontal="center" vertical="center" wrapText="1"/>
    </xf>
    <xf numFmtId="0" fontId="15" fillId="8" borderId="46" xfId="0" applyFont="1" applyFill="1" applyBorder="1" applyAlignment="1">
      <alignment horizontal="center" vertical="center" wrapText="1"/>
    </xf>
    <xf numFmtId="0" fontId="15" fillId="8" borderId="48" xfId="0" applyFont="1" applyFill="1" applyBorder="1" applyAlignment="1">
      <alignment horizontal="center" vertical="center" wrapText="1"/>
    </xf>
    <xf numFmtId="0" fontId="15" fillId="8" borderId="4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25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16" fillId="0" borderId="8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7" fontId="1" fillId="0" borderId="0" xfId="0" applyNumberFormat="1" applyFont="1" applyAlignment="1">
      <alignment horizontal="center"/>
    </xf>
    <xf numFmtId="0" fontId="15" fillId="0" borderId="22" xfId="0" applyFont="1" applyBorder="1" applyAlignment="1">
      <alignment horizontal="center" vertical="center"/>
    </xf>
    <xf numFmtId="0" fontId="0" fillId="7" borderId="2" xfId="0" applyFill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5" fillId="8" borderId="1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29" borderId="8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15" fillId="31" borderId="0" xfId="0" applyFont="1" applyFill="1"/>
    <xf numFmtId="0" fontId="15" fillId="31" borderId="1" xfId="0" applyFont="1" applyFill="1" applyBorder="1"/>
    <xf numFmtId="0" fontId="0" fillId="31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/>
    </xf>
    <xf numFmtId="0" fontId="11" fillId="15" borderId="2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15" borderId="22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42" xfId="0" applyBorder="1" applyAlignment="1">
      <alignment vertical="center"/>
    </xf>
    <xf numFmtId="0" fontId="50" fillId="0" borderId="8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5" fillId="0" borderId="25" xfId="0" applyFont="1" applyBorder="1"/>
    <xf numFmtId="0" fontId="15" fillId="0" borderId="10" xfId="0" applyFont="1" applyBorder="1"/>
    <xf numFmtId="0" fontId="47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7" fillId="0" borderId="1" xfId="0" applyFont="1" applyBorder="1" applyAlignment="1">
      <alignment horizontal="center"/>
    </xf>
    <xf numFmtId="0" fontId="20" fillId="13" borderId="3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5" fillId="0" borderId="7" xfId="0" applyFont="1" applyBorder="1"/>
    <xf numFmtId="0" fontId="25" fillId="0" borderId="1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4" fillId="3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45" fillId="2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15" fillId="18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0" borderId="8" xfId="0" applyFont="1" applyBorder="1" applyAlignment="1">
      <alignment vertical="center"/>
    </xf>
    <xf numFmtId="0" fontId="11" fillId="0" borderId="45" xfId="0" applyFont="1" applyBorder="1" applyAlignment="1">
      <alignment vertical="center" wrapText="1"/>
    </xf>
    <xf numFmtId="0" fontId="15" fillId="0" borderId="45" xfId="0" applyFont="1" applyBorder="1"/>
    <xf numFmtId="0" fontId="11" fillId="0" borderId="0" xfId="0" applyFont="1" applyAlignment="1">
      <alignment vertical="center" wrapText="1"/>
    </xf>
    <xf numFmtId="0" fontId="15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vertical="center"/>
    </xf>
    <xf numFmtId="0" fontId="11" fillId="0" borderId="48" xfId="0" applyFont="1" applyBorder="1" applyAlignment="1">
      <alignment vertical="center" wrapText="1"/>
    </xf>
    <xf numFmtId="0" fontId="15" fillId="0" borderId="48" xfId="0" applyFont="1" applyBorder="1"/>
    <xf numFmtId="0" fontId="0" fillId="0" borderId="21" xfId="0" applyBorder="1"/>
    <xf numFmtId="0" fontId="25" fillId="0" borderId="2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/>
    </xf>
    <xf numFmtId="0" fontId="11" fillId="11" borderId="8" xfId="0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25" borderId="8" xfId="0" applyFont="1" applyFill="1" applyBorder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11" fillId="26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9" fillId="21" borderId="1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9" fillId="21" borderId="8" xfId="0" applyFont="1" applyFill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0" fillId="0" borderId="10" xfId="0" applyBorder="1"/>
    <xf numFmtId="0" fontId="0" fillId="0" borderId="11" xfId="0" quotePrefix="1" applyBorder="1" applyAlignment="1">
      <alignment horizontal="center"/>
    </xf>
    <xf numFmtId="0" fontId="0" fillId="0" borderId="11" xfId="0" applyBorder="1"/>
    <xf numFmtId="0" fontId="0" fillId="0" borderId="48" xfId="0" applyBorder="1"/>
    <xf numFmtId="0" fontId="0" fillId="0" borderId="31" xfId="0" applyBorder="1"/>
    <xf numFmtId="0" fontId="0" fillId="0" borderId="8" xfId="0" applyBorder="1"/>
    <xf numFmtId="0" fontId="0" fillId="0" borderId="45" xfId="0" applyBorder="1"/>
    <xf numFmtId="0" fontId="0" fillId="0" borderId="24" xfId="0" applyBorder="1"/>
    <xf numFmtId="0" fontId="0" fillId="0" borderId="28" xfId="0" applyBorder="1"/>
    <xf numFmtId="0" fontId="0" fillId="0" borderId="7" xfId="0" applyBorder="1"/>
    <xf numFmtId="0" fontId="0" fillId="0" borderId="25" xfId="0" applyBorder="1"/>
    <xf numFmtId="0" fontId="16" fillId="0" borderId="8" xfId="0" applyFont="1" applyBorder="1" applyAlignment="1">
      <alignment vertical="center" wrapText="1"/>
    </xf>
    <xf numFmtId="0" fontId="16" fillId="15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6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6" fillId="0" borderId="11" xfId="0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top"/>
    </xf>
    <xf numFmtId="0" fontId="0" fillId="12" borderId="1" xfId="0" applyFill="1" applyBorder="1" applyAlignment="1">
      <alignment horizontal="center"/>
    </xf>
    <xf numFmtId="0" fontId="11" fillId="3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0" fillId="0" borderId="53" xfId="0" applyBorder="1"/>
    <xf numFmtId="0" fontId="1" fillId="0" borderId="53" xfId="0" applyFont="1" applyBorder="1" applyAlignment="1">
      <alignment vertical="center" wrapText="1"/>
    </xf>
    <xf numFmtId="0" fontId="53" fillId="0" borderId="25" xfId="0" applyFont="1" applyBorder="1" applyAlignment="1">
      <alignment horizont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5" fillId="0" borderId="11" xfId="0" applyFont="1" applyBorder="1" applyAlignment="1">
      <alignment horizontal="center"/>
    </xf>
    <xf numFmtId="0" fontId="55" fillId="0" borderId="11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6" fillId="21" borderId="11" xfId="0" applyFont="1" applyFill="1" applyBorder="1" applyAlignment="1">
      <alignment horizontal="center" vertical="center"/>
    </xf>
    <xf numFmtId="0" fontId="55" fillId="0" borderId="11" xfId="0" applyFont="1" applyBorder="1" applyAlignment="1">
      <alignment horizontal="center" vertical="center" wrapText="1"/>
    </xf>
    <xf numFmtId="0" fontId="55" fillId="11" borderId="1" xfId="0" applyFont="1" applyFill="1" applyBorder="1" applyAlignment="1">
      <alignment horizontal="center" vertical="center"/>
    </xf>
    <xf numFmtId="0" fontId="56" fillId="21" borderId="1" xfId="0" applyFont="1" applyFill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0" fontId="54" fillId="0" borderId="1" xfId="0" applyFont="1" applyBorder="1"/>
    <xf numFmtId="0" fontId="39" fillId="0" borderId="1" xfId="0" applyFont="1" applyBorder="1" applyAlignment="1">
      <alignment horizontal="center" vertical="center"/>
    </xf>
    <xf numFmtId="0" fontId="0" fillId="0" borderId="21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36" fillId="34" borderId="2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5" fillId="34" borderId="2" xfId="0" applyFont="1" applyFill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vertical="center" wrapText="1"/>
    </xf>
    <xf numFmtId="0" fontId="52" fillId="34" borderId="2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2" fillId="34" borderId="1" xfId="0" quotePrefix="1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 wrapText="1"/>
    </xf>
    <xf numFmtId="0" fontId="52" fillId="3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0" fillId="35" borderId="1" xfId="0" applyFont="1" applyFill="1" applyBorder="1" applyAlignment="1">
      <alignment horizontal="center" vertical="center" wrapText="1"/>
    </xf>
    <xf numFmtId="0" fontId="19" fillId="35" borderId="1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center" vertical="center"/>
    </xf>
    <xf numFmtId="0" fontId="11" fillId="35" borderId="1" xfId="0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/>
    </xf>
    <xf numFmtId="0" fontId="37" fillId="3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58" fillId="18" borderId="0" xfId="0" applyFont="1" applyFill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/>
    </xf>
    <xf numFmtId="0" fontId="0" fillId="36" borderId="0" xfId="0" applyFill="1" applyAlignment="1">
      <alignment horizontal="center" wrapText="1"/>
    </xf>
    <xf numFmtId="0" fontId="0" fillId="0" borderId="0" xfId="0" quotePrefix="1" applyAlignment="1">
      <alignment vertical="center" wrapText="1"/>
    </xf>
    <xf numFmtId="0" fontId="2" fillId="0" borderId="0" xfId="0" applyFont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5" fillId="29" borderId="2" xfId="0" applyFont="1" applyFill="1" applyBorder="1" applyAlignment="1">
      <alignment horizontal="center" vertical="center"/>
    </xf>
    <xf numFmtId="0" fontId="15" fillId="20" borderId="8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0" fontId="15" fillId="0" borderId="8" xfId="0" quotePrefix="1" applyFont="1" applyBorder="1" applyAlignment="1">
      <alignment horizontal="center" vertical="center" wrapText="1"/>
    </xf>
    <xf numFmtId="0" fontId="15" fillId="0" borderId="11" xfId="0" quotePrefix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5" fillId="0" borderId="27" xfId="0" applyFont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5" fillId="11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 wrapText="1"/>
    </xf>
    <xf numFmtId="0" fontId="26" fillId="31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/>
    <xf numFmtId="0" fontId="15" fillId="8" borderId="40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63" fillId="29" borderId="1" xfId="0" applyFont="1" applyFill="1" applyBorder="1" applyAlignment="1">
      <alignment horizontal="center" vertical="center"/>
    </xf>
    <xf numFmtId="0" fontId="64" fillId="29" borderId="1" xfId="0" applyFont="1" applyFill="1" applyBorder="1" applyAlignment="1">
      <alignment horizontal="center" vertical="center"/>
    </xf>
    <xf numFmtId="0" fontId="65" fillId="29" borderId="1" xfId="0" applyFont="1" applyFill="1" applyBorder="1" applyAlignment="1">
      <alignment horizontal="center" vertical="center"/>
    </xf>
    <xf numFmtId="0" fontId="66" fillId="29" borderId="1" xfId="0" applyFont="1" applyFill="1" applyBorder="1" applyAlignment="1">
      <alignment horizontal="center" vertical="center" wrapText="1"/>
    </xf>
    <xf numFmtId="0" fontId="63" fillId="29" borderId="0" xfId="0" applyFont="1" applyFill="1" applyAlignment="1">
      <alignment horizontal="center" vertical="center"/>
    </xf>
    <xf numFmtId="0" fontId="1" fillId="17" borderId="1" xfId="0" applyFont="1" applyFill="1" applyBorder="1" applyAlignment="1">
      <alignment horizontal="left" vertical="center"/>
    </xf>
    <xf numFmtId="0" fontId="11" fillId="17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 wrapText="1"/>
    </xf>
    <xf numFmtId="0" fontId="0" fillId="14" borderId="0" xfId="0" applyFill="1" applyAlignment="1">
      <alignment vertical="center"/>
    </xf>
    <xf numFmtId="0" fontId="15" fillId="37" borderId="1" xfId="0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3" fillId="0" borderId="1" xfId="0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9" fillId="1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5" fillId="13" borderId="1" xfId="0" applyFont="1" applyFill="1" applyBorder="1" applyAlignment="1">
      <alignment horizontal="center" vertical="center" wrapText="1"/>
    </xf>
    <xf numFmtId="0" fontId="63" fillId="2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1" fillId="38" borderId="43" xfId="0" applyFont="1" applyFill="1" applyBorder="1" applyAlignment="1">
      <alignment horizontal="center" vertical="center" wrapText="1"/>
    </xf>
    <xf numFmtId="0" fontId="1" fillId="38" borderId="2" xfId="0" applyFont="1" applyFill="1" applyBorder="1" applyAlignment="1">
      <alignment horizontal="center" vertical="center" wrapText="1"/>
    </xf>
    <xf numFmtId="0" fontId="11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1" fillId="36" borderId="2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36" borderId="2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0" fillId="2" borderId="1" xfId="0" applyFill="1" applyBorder="1"/>
    <xf numFmtId="0" fontId="26" fillId="6" borderId="1" xfId="0" applyFont="1" applyFill="1" applyBorder="1" applyAlignment="1">
      <alignment horizontal="center" vertical="center"/>
    </xf>
    <xf numFmtId="0" fontId="77" fillId="29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13" borderId="1" xfId="0" applyFont="1" applyFill="1" applyBorder="1" applyAlignment="1">
      <alignment horizontal="center" vertical="center" wrapText="1"/>
    </xf>
    <xf numFmtId="0" fontId="48" fillId="0" borderId="2" xfId="0" applyFont="1" applyBorder="1" applyAlignment="1">
      <alignment horizontal="center"/>
    </xf>
    <xf numFmtId="0" fontId="48" fillId="0" borderId="21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7" fillId="1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 vertical="center" wrapText="1"/>
    </xf>
    <xf numFmtId="0" fontId="1" fillId="8" borderId="50" xfId="0" applyFont="1" applyFill="1" applyBorder="1" applyAlignment="1">
      <alignment horizontal="center" vertical="center" wrapText="1"/>
    </xf>
    <xf numFmtId="0" fontId="1" fillId="8" borderId="4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20" borderId="2" xfId="0" applyFont="1" applyFill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 wrapText="1"/>
    </xf>
    <xf numFmtId="0" fontId="20" fillId="13" borderId="21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21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25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1" fillId="16" borderId="15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3" borderId="37" xfId="0" applyFont="1" applyFill="1" applyBorder="1" applyAlignment="1">
      <alignment horizontal="center"/>
    </xf>
    <xf numFmtId="0" fontId="15" fillId="3" borderId="38" xfId="0" applyFont="1" applyFill="1" applyBorder="1" applyAlignment="1">
      <alignment horizontal="center"/>
    </xf>
    <xf numFmtId="0" fontId="15" fillId="3" borderId="39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6" fontId="43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" fontId="51" fillId="0" borderId="53" xfId="0" applyNumberFormat="1" applyFont="1" applyBorder="1" applyAlignment="1">
      <alignment horizontal="center" vertical="center"/>
    </xf>
    <xf numFmtId="0" fontId="51" fillId="0" borderId="53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15" fontId="49" fillId="0" borderId="0" xfId="0" applyNumberFormat="1" applyFont="1" applyAlignment="1">
      <alignment horizontal="center" vertical="center"/>
    </xf>
    <xf numFmtId="16" fontId="31" fillId="0" borderId="13" xfId="0" applyNumberFormat="1" applyFont="1" applyBorder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6" fontId="31" fillId="0" borderId="1" xfId="0" applyNumberFormat="1" applyFont="1" applyBorder="1" applyAlignment="1">
      <alignment horizontal="center" vertical="center"/>
    </xf>
    <xf numFmtId="16" fontId="31" fillId="0" borderId="26" xfId="0" applyNumberFormat="1" applyFont="1" applyBorder="1" applyAlignment="1">
      <alignment horizontal="center" vertical="center"/>
    </xf>
    <xf numFmtId="44" fontId="15" fillId="0" borderId="51" xfId="1" quotePrefix="1" applyFont="1" applyBorder="1" applyAlignment="1">
      <alignment horizontal="center" vertical="center"/>
    </xf>
    <xf numFmtId="44" fontId="15" fillId="0" borderId="4" xfId="1" applyFont="1" applyBorder="1" applyAlignment="1">
      <alignment horizontal="center" vertical="center"/>
    </xf>
    <xf numFmtId="44" fontId="15" fillId="0" borderId="52" xfId="1" applyFont="1" applyBorder="1" applyAlignment="1">
      <alignment horizontal="center" vertical="center"/>
    </xf>
    <xf numFmtId="0" fontId="1" fillId="6" borderId="5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3">
    <cellStyle name="Normale" xfId="0" builtinId="0"/>
    <cellStyle name="Valuta" xfId="1" builtinId="4"/>
    <cellStyle name="Valuta 2" xfId="2" xr:uid="{52259668-03FD-4BFA-A655-00F3096C94AD}"/>
  </cellStyles>
  <dxfs count="0"/>
  <tableStyles count="0" defaultTableStyle="TableStyleMedium2" defaultPivotStyle="PivotStyleLight16"/>
  <colors>
    <mruColors>
      <color rgb="FFFF33CC"/>
      <color rgb="FFA03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382</xdr:row>
      <xdr:rowOff>1</xdr:rowOff>
    </xdr:from>
    <xdr:to>
      <xdr:col>9</xdr:col>
      <xdr:colOff>3810000</xdr:colOff>
      <xdr:row>385</xdr:row>
      <xdr:rowOff>72573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AC49B617-F77F-3ECB-6D53-A028C8B570D7}"/>
            </a:ext>
          </a:extLst>
        </xdr:cNvPr>
        <xdr:cNvSpPr/>
      </xdr:nvSpPr>
      <xdr:spPr>
        <a:xfrm>
          <a:off x="18142857" y="110236001"/>
          <a:ext cx="3429000" cy="67128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15/09/2025</a:t>
          </a:r>
          <a:r>
            <a:rPr lang="it-IT" sz="1100" baseline="0"/>
            <a:t> </a:t>
          </a:r>
          <a:r>
            <a:rPr lang="it-IT" sz="1100"/>
            <a:t>indirzzo Provvisorio; </a:t>
          </a:r>
        </a:p>
        <a:p>
          <a:pPr algn="l"/>
          <a:r>
            <a:rPr lang="it-IT" sz="1100"/>
            <a:t>Macchina</a:t>
          </a:r>
          <a:r>
            <a:rPr lang="it-IT" sz="1100" baseline="0"/>
            <a:t> collegata al mio Portatile</a:t>
          </a:r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89</xdr:row>
      <xdr:rowOff>198120</xdr:rowOff>
    </xdr:from>
    <xdr:to>
      <xdr:col>6</xdr:col>
      <xdr:colOff>457200</xdr:colOff>
      <xdr:row>94</xdr:row>
      <xdr:rowOff>60960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79DFFFD5-9DB0-4287-BB10-87CB3ACB0E32}"/>
            </a:ext>
          </a:extLst>
        </xdr:cNvPr>
        <xdr:cNvSpPr/>
      </xdr:nvSpPr>
      <xdr:spPr>
        <a:xfrm>
          <a:off x="8869680" y="53881020"/>
          <a:ext cx="2903220" cy="853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ACD1.19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228600</xdr:colOff>
      <xdr:row>245</xdr:row>
      <xdr:rowOff>121920</xdr:rowOff>
    </xdr:from>
    <xdr:to>
      <xdr:col>6</xdr:col>
      <xdr:colOff>594360</xdr:colOff>
      <xdr:row>249</xdr:row>
      <xdr:rowOff>182880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2C60B7E0-5B6E-4EDC-8920-6A915806DF0F}"/>
            </a:ext>
          </a:extLst>
        </xdr:cNvPr>
        <xdr:cNvSpPr/>
      </xdr:nvSpPr>
      <xdr:spPr>
        <a:xfrm>
          <a:off x="9006840" y="84711540"/>
          <a:ext cx="2903220" cy="853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ACD1.01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228600</xdr:colOff>
      <xdr:row>153</xdr:row>
      <xdr:rowOff>121920</xdr:rowOff>
    </xdr:from>
    <xdr:to>
      <xdr:col>6</xdr:col>
      <xdr:colOff>594360</xdr:colOff>
      <xdr:row>157</xdr:row>
      <xdr:rowOff>182880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93DCEA4-6B6E-48D7-8199-D4262A7BA091}"/>
            </a:ext>
          </a:extLst>
        </xdr:cNvPr>
        <xdr:cNvSpPr/>
      </xdr:nvSpPr>
      <xdr:spPr>
        <a:xfrm>
          <a:off x="9006840" y="66484500"/>
          <a:ext cx="2903220" cy="853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ACD1.01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5</xdr:col>
      <xdr:colOff>228600</xdr:colOff>
      <xdr:row>193</xdr:row>
      <xdr:rowOff>121920</xdr:rowOff>
    </xdr:from>
    <xdr:to>
      <xdr:col>6</xdr:col>
      <xdr:colOff>594360</xdr:colOff>
      <xdr:row>197</xdr:row>
      <xdr:rowOff>182880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F96E1ACB-E385-4195-90CB-DCA2C986FCE1}"/>
            </a:ext>
          </a:extLst>
        </xdr:cNvPr>
        <xdr:cNvSpPr/>
      </xdr:nvSpPr>
      <xdr:spPr>
        <a:xfrm>
          <a:off x="9006840" y="74409300"/>
          <a:ext cx="2903220" cy="853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ACD1.01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6</xdr:col>
      <xdr:colOff>476250</xdr:colOff>
      <xdr:row>342</xdr:row>
      <xdr:rowOff>111125</xdr:rowOff>
    </xdr:from>
    <xdr:to>
      <xdr:col>7</xdr:col>
      <xdr:colOff>206375</xdr:colOff>
      <xdr:row>343</xdr:row>
      <xdr:rowOff>698500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CA576987-F5C5-4DA4-9A8A-A65F7A311362}"/>
            </a:ext>
          </a:extLst>
        </xdr:cNvPr>
        <xdr:cNvSpPr txBox="1"/>
      </xdr:nvSpPr>
      <xdr:spPr>
        <a:xfrm>
          <a:off x="11791950" y="103918385"/>
          <a:ext cx="1955165" cy="28257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Prova</a:t>
          </a:r>
          <a:r>
            <a:rPr lang="it-IT" sz="1100" baseline="0"/>
            <a:t> a fare allarme HOD su questa porta per vdere se il nome del device che esce è qeullo DELL ACP oppure del device dedicato ad emetter suono...</a:t>
          </a:r>
        </a:p>
        <a:p>
          <a:endParaRPr lang="it-IT" sz="1100" baseline="0"/>
        </a:p>
        <a:p>
          <a:r>
            <a:rPr lang="it-IT" sz="1100" baseline="0"/>
            <a:t>Sepriamo il secondo perche questo ACP ha due porte con allarme</a:t>
          </a:r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180340</xdr:colOff>
      <xdr:row>20</xdr:row>
      <xdr:rowOff>172720</xdr:rowOff>
    </xdr:from>
    <xdr:to>
      <xdr:col>20</xdr:col>
      <xdr:colOff>495300</xdr:colOff>
      <xdr:row>24</xdr:row>
      <xdr:rowOff>35560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6966E495-7A15-4A17-95D1-03431E7F176B}"/>
            </a:ext>
          </a:extLst>
        </xdr:cNvPr>
        <xdr:cNvSpPr/>
      </xdr:nvSpPr>
      <xdr:spPr>
        <a:xfrm>
          <a:off x="22240240" y="4922520"/>
          <a:ext cx="1165860" cy="6756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ACD1.19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19</xdr:col>
      <xdr:colOff>247650</xdr:colOff>
      <xdr:row>71</xdr:row>
      <xdr:rowOff>333375</xdr:rowOff>
    </xdr:from>
    <xdr:to>
      <xdr:col>20</xdr:col>
      <xdr:colOff>419100</xdr:colOff>
      <xdr:row>83</xdr:row>
      <xdr:rowOff>0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3AF15544-89A0-402E-92A4-CE3C559E0545}"/>
            </a:ext>
          </a:extLst>
        </xdr:cNvPr>
        <xdr:cNvSpPr/>
      </xdr:nvSpPr>
      <xdr:spPr>
        <a:xfrm>
          <a:off x="33661350" y="3590925"/>
          <a:ext cx="1028700" cy="1457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ACD1.01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  <xdr:twoCellAnchor>
    <xdr:from>
      <xdr:col>15</xdr:col>
      <xdr:colOff>228600</xdr:colOff>
      <xdr:row>99</xdr:row>
      <xdr:rowOff>121920</xdr:rowOff>
    </xdr:from>
    <xdr:to>
      <xdr:col>16</xdr:col>
      <xdr:colOff>0</xdr:colOff>
      <xdr:row>103</xdr:row>
      <xdr:rowOff>182880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BA93054A-981F-4C41-9805-035867E3A5BC}"/>
            </a:ext>
          </a:extLst>
        </xdr:cNvPr>
        <xdr:cNvSpPr/>
      </xdr:nvSpPr>
      <xdr:spPr>
        <a:xfrm>
          <a:off x="5295900" y="24925020"/>
          <a:ext cx="2829560" cy="873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Il Doppio BG della ACD1.01</a:t>
          </a:r>
        </a:p>
        <a:p>
          <a:pPr algn="l"/>
          <a:r>
            <a:rPr lang="it-IT" sz="1100"/>
            <a:t>esiste</a:t>
          </a:r>
          <a:r>
            <a:rPr lang="it-IT" sz="1100" baseline="0"/>
            <a:t> per il controllo dell'evacuazione</a:t>
          </a:r>
        </a:p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67B1-480C-CC4C-8617-F20532D3249B}">
  <sheetPr>
    <pageSetUpPr fitToPage="1"/>
  </sheetPr>
  <dimension ref="A3:T384"/>
  <sheetViews>
    <sheetView zoomScale="50" zoomScaleNormal="50" workbookViewId="0">
      <selection activeCell="A25" sqref="A25"/>
    </sheetView>
  </sheetViews>
  <sheetFormatPr baseColWidth="10" defaultColWidth="18.6640625" defaultRowHeight="16" x14ac:dyDescent="0.2"/>
  <cols>
    <col min="1" max="1" width="38.6640625" style="14" customWidth="1"/>
    <col min="2" max="2" width="24.5" style="14" customWidth="1"/>
    <col min="3" max="3" width="55.5" customWidth="1"/>
    <col min="4" max="4" width="43.83203125" customWidth="1"/>
    <col min="5" max="5" width="4.1640625" customWidth="1"/>
    <col min="6" max="6" width="23.6640625" customWidth="1"/>
    <col min="7" max="7" width="21.6640625" customWidth="1"/>
    <col min="8" max="8" width="8.6640625" customWidth="1"/>
    <col min="9" max="9" width="12.5" customWidth="1"/>
    <col min="10" max="10" width="58.1640625" customWidth="1"/>
    <col min="11" max="11" width="16.83203125" style="14" customWidth="1"/>
    <col min="12" max="12" width="9.1640625" style="14" customWidth="1"/>
    <col min="13" max="13" width="7.5" style="14" customWidth="1"/>
    <col min="14" max="14" width="18.6640625" style="130"/>
    <col min="15" max="15" width="17.1640625" style="14" customWidth="1"/>
    <col min="16" max="16" width="40.33203125" style="14" customWidth="1"/>
    <col min="17" max="17" width="24.83203125" style="14" bestFit="1" customWidth="1"/>
    <col min="18" max="18" width="25.5" style="148" customWidth="1"/>
  </cols>
  <sheetData>
    <row r="3" spans="1:20" ht="16.25" customHeight="1" x14ac:dyDescent="0.2">
      <c r="A3" s="142" t="s">
        <v>112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</row>
    <row r="4" spans="1:20" ht="16.25" customHeight="1" x14ac:dyDescent="0.2">
      <c r="A4" s="142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spans="1:20" ht="72.5" customHeight="1" x14ac:dyDescent="0.2">
      <c r="A5" s="37" t="s">
        <v>333</v>
      </c>
      <c r="B5" s="34" t="s">
        <v>115</v>
      </c>
      <c r="C5" s="29" t="s">
        <v>1</v>
      </c>
      <c r="D5" s="29" t="s">
        <v>320</v>
      </c>
      <c r="E5" s="30"/>
      <c r="F5" s="31" t="s">
        <v>97</v>
      </c>
      <c r="G5" s="32" t="s">
        <v>2</v>
      </c>
      <c r="H5" s="32" t="s">
        <v>614</v>
      </c>
      <c r="I5" s="32" t="s">
        <v>615</v>
      </c>
      <c r="J5" s="33" t="s">
        <v>3</v>
      </c>
      <c r="K5" s="33" t="s">
        <v>4</v>
      </c>
      <c r="L5" s="33" t="s">
        <v>1054</v>
      </c>
      <c r="M5" s="30"/>
      <c r="N5" s="34" t="s">
        <v>6</v>
      </c>
      <c r="O5" s="35" t="s">
        <v>7</v>
      </c>
      <c r="P5" s="34" t="s">
        <v>8</v>
      </c>
      <c r="Q5" s="34" t="s">
        <v>111</v>
      </c>
      <c r="R5" s="258" t="s">
        <v>762</v>
      </c>
    </row>
    <row r="6" spans="1:20" x14ac:dyDescent="0.2">
      <c r="A6" s="3"/>
      <c r="B6" s="1"/>
      <c r="C6" s="1"/>
      <c r="D6" s="1"/>
      <c r="E6" s="4"/>
      <c r="F6" s="5"/>
      <c r="G6" s="5"/>
      <c r="H6" s="5"/>
      <c r="I6" s="5"/>
      <c r="J6" s="1"/>
      <c r="K6" s="1"/>
      <c r="L6" s="1"/>
      <c r="M6" s="2"/>
      <c r="N6" s="1"/>
      <c r="O6" s="1"/>
      <c r="P6" s="1"/>
      <c r="Q6" s="1"/>
    </row>
    <row r="7" spans="1:20" ht="17" customHeight="1" x14ac:dyDescent="0.2">
      <c r="A7" s="17" t="s">
        <v>9</v>
      </c>
      <c r="B7" s="26" t="s">
        <v>114</v>
      </c>
      <c r="C7" s="6"/>
      <c r="D7" s="16" t="s">
        <v>720</v>
      </c>
      <c r="E7" s="2"/>
      <c r="F7" s="167"/>
      <c r="G7" s="7" t="s">
        <v>10</v>
      </c>
      <c r="H7" s="167" t="s">
        <v>617</v>
      </c>
      <c r="I7" s="7" t="s">
        <v>616</v>
      </c>
      <c r="J7" s="8" t="s">
        <v>11</v>
      </c>
      <c r="K7" s="221"/>
      <c r="L7" s="277" t="s">
        <v>832</v>
      </c>
      <c r="M7" s="2"/>
      <c r="N7" s="12">
        <v>542082234</v>
      </c>
      <c r="O7" s="16" t="s">
        <v>597</v>
      </c>
      <c r="P7" s="135"/>
      <c r="Q7" s="135"/>
    </row>
    <row r="8" spans="1:20" ht="17" customHeight="1" x14ac:dyDescent="0.2">
      <c r="A8" s="17" t="s">
        <v>12</v>
      </c>
      <c r="B8" s="26" t="s">
        <v>114</v>
      </c>
      <c r="C8" s="6"/>
      <c r="D8" s="16" t="str">
        <f t="shared" ref="D8:D25" si="0">_xlfn.CONCAT(A8," (",MID(G8,7,7),")")</f>
        <v>ACP 1.2 (.140.12)</v>
      </c>
      <c r="E8" s="2"/>
      <c r="F8" s="167"/>
      <c r="G8" s="7" t="s">
        <v>13</v>
      </c>
      <c r="H8" s="167" t="s">
        <v>617</v>
      </c>
      <c r="I8" s="7" t="s">
        <v>616</v>
      </c>
      <c r="J8" s="8" t="s">
        <v>11</v>
      </c>
      <c r="K8" s="221"/>
      <c r="L8" s="277" t="s">
        <v>831</v>
      </c>
      <c r="M8" s="2"/>
      <c r="N8" s="12">
        <v>542080778</v>
      </c>
      <c r="O8" s="16" t="s">
        <v>597</v>
      </c>
      <c r="P8" s="135"/>
      <c r="Q8" s="135"/>
    </row>
    <row r="9" spans="1:20" ht="17" customHeight="1" x14ac:dyDescent="0.2">
      <c r="A9" s="17" t="s">
        <v>14</v>
      </c>
      <c r="B9" s="26" t="s">
        <v>114</v>
      </c>
      <c r="C9" s="6"/>
      <c r="D9" s="16" t="str">
        <f t="shared" si="0"/>
        <v>ACP 1.3 (.140.13)</v>
      </c>
      <c r="E9" s="2"/>
      <c r="F9" s="167"/>
      <c r="G9" s="7" t="s">
        <v>15</v>
      </c>
      <c r="H9" s="167" t="s">
        <v>617</v>
      </c>
      <c r="I9" s="7" t="s">
        <v>616</v>
      </c>
      <c r="J9" s="8" t="s">
        <v>11</v>
      </c>
      <c r="K9" s="221"/>
      <c r="L9" s="277" t="s">
        <v>846</v>
      </c>
      <c r="M9" s="2"/>
      <c r="N9" s="12">
        <v>542082232</v>
      </c>
      <c r="O9" s="16" t="s">
        <v>597</v>
      </c>
      <c r="P9" s="135"/>
      <c r="Q9" s="135"/>
    </row>
    <row r="10" spans="1:20" ht="17" customHeight="1" x14ac:dyDescent="0.2">
      <c r="A10" s="17" t="s">
        <v>16</v>
      </c>
      <c r="B10" s="26" t="s">
        <v>114</v>
      </c>
      <c r="C10" s="6"/>
      <c r="D10" s="16" t="str">
        <f t="shared" si="0"/>
        <v>ACP 1.4 (.140.14)</v>
      </c>
      <c r="E10" s="2"/>
      <c r="F10" s="167"/>
      <c r="G10" s="7" t="s">
        <v>17</v>
      </c>
      <c r="H10" s="167" t="s">
        <v>617</v>
      </c>
      <c r="I10" s="7" t="s">
        <v>616</v>
      </c>
      <c r="J10" s="8" t="s">
        <v>11</v>
      </c>
      <c r="K10" s="221"/>
      <c r="L10" s="277" t="s">
        <v>847</v>
      </c>
      <c r="M10" s="2"/>
      <c r="N10" s="12">
        <v>542082237</v>
      </c>
      <c r="O10" s="16" t="s">
        <v>597</v>
      </c>
      <c r="P10" s="135"/>
      <c r="Q10" s="135"/>
      <c r="S10">
        <v>3</v>
      </c>
      <c r="T10" s="278" t="s">
        <v>839</v>
      </c>
    </row>
    <row r="11" spans="1:20" ht="17" customHeight="1" x14ac:dyDescent="0.2">
      <c r="A11" s="17" t="s">
        <v>19</v>
      </c>
      <c r="B11" s="26" t="s">
        <v>114</v>
      </c>
      <c r="C11" s="6"/>
      <c r="D11" s="16" t="str">
        <f t="shared" si="0"/>
        <v>ACP 2.1 (.140.21)</v>
      </c>
      <c r="E11" s="2"/>
      <c r="F11" s="167"/>
      <c r="G11" s="7" t="s">
        <v>20</v>
      </c>
      <c r="H11" s="167" t="s">
        <v>617</v>
      </c>
      <c r="I11" s="7" t="s">
        <v>616</v>
      </c>
      <c r="J11" s="8" t="s">
        <v>11</v>
      </c>
      <c r="K11" s="221"/>
      <c r="L11" s="277" t="s">
        <v>830</v>
      </c>
      <c r="M11" s="2"/>
      <c r="N11" s="12">
        <v>542082231</v>
      </c>
      <c r="O11" s="16" t="s">
        <v>597</v>
      </c>
      <c r="P11" s="135"/>
      <c r="Q11" s="135"/>
      <c r="S11">
        <v>4</v>
      </c>
      <c r="T11" s="278" t="s">
        <v>840</v>
      </c>
    </row>
    <row r="12" spans="1:20" ht="17" customHeight="1" x14ac:dyDescent="0.2">
      <c r="A12" s="17" t="s">
        <v>21</v>
      </c>
      <c r="B12" s="26" t="s">
        <v>114</v>
      </c>
      <c r="C12" s="6"/>
      <c r="D12" s="16" t="str">
        <f t="shared" si="0"/>
        <v>ACP 2.2 (.140.22)</v>
      </c>
      <c r="E12" s="2"/>
      <c r="F12" s="167"/>
      <c r="G12" s="7" t="s">
        <v>22</v>
      </c>
      <c r="H12" s="167" t="s">
        <v>617</v>
      </c>
      <c r="I12" s="7" t="s">
        <v>616</v>
      </c>
      <c r="J12" s="8" t="s">
        <v>11</v>
      </c>
      <c r="K12" s="221"/>
      <c r="L12" s="277" t="s">
        <v>827</v>
      </c>
      <c r="M12" s="2"/>
      <c r="N12" s="12">
        <v>542082235</v>
      </c>
      <c r="O12" s="16" t="s">
        <v>597</v>
      </c>
      <c r="P12" s="135"/>
      <c r="Q12" s="135"/>
    </row>
    <row r="13" spans="1:20" ht="17" customHeight="1" x14ac:dyDescent="0.2">
      <c r="A13" s="17" t="s">
        <v>23</v>
      </c>
      <c r="B13" s="26" t="s">
        <v>114</v>
      </c>
      <c r="C13" s="6"/>
      <c r="D13" s="16" t="str">
        <f t="shared" si="0"/>
        <v>ACP 2.3 (.140.23)</v>
      </c>
      <c r="E13" s="2"/>
      <c r="F13" s="167"/>
      <c r="G13" s="7" t="s">
        <v>24</v>
      </c>
      <c r="H13" s="167" t="s">
        <v>617</v>
      </c>
      <c r="I13" s="7" t="s">
        <v>616</v>
      </c>
      <c r="J13" s="8" t="s">
        <v>11</v>
      </c>
      <c r="K13" s="221"/>
      <c r="L13" s="277" t="s">
        <v>848</v>
      </c>
      <c r="M13" s="2"/>
      <c r="N13" s="12">
        <v>542081915</v>
      </c>
      <c r="O13" s="16" t="s">
        <v>597</v>
      </c>
      <c r="P13" s="135"/>
      <c r="Q13" s="135"/>
    </row>
    <row r="14" spans="1:20" ht="17" customHeight="1" x14ac:dyDescent="0.2">
      <c r="A14" s="17" t="s">
        <v>25</v>
      </c>
      <c r="B14" s="26" t="s">
        <v>114</v>
      </c>
      <c r="C14" s="6"/>
      <c r="D14" s="16" t="str">
        <f t="shared" si="0"/>
        <v>ACP 2.4 (.140.24)</v>
      </c>
      <c r="E14" s="2"/>
      <c r="F14" s="7" t="s">
        <v>919</v>
      </c>
      <c r="G14" s="7" t="s">
        <v>26</v>
      </c>
      <c r="H14" s="167" t="s">
        <v>617</v>
      </c>
      <c r="I14" s="7" t="s">
        <v>616</v>
      </c>
      <c r="J14" s="248" t="s">
        <v>745</v>
      </c>
      <c r="K14" s="221"/>
      <c r="L14" s="10" t="s">
        <v>832</v>
      </c>
      <c r="M14" s="2"/>
      <c r="N14" s="12">
        <v>542081918</v>
      </c>
      <c r="O14" s="16" t="s">
        <v>597</v>
      </c>
      <c r="P14" s="135"/>
      <c r="Q14" s="135"/>
    </row>
    <row r="15" spans="1:20" ht="17" customHeight="1" x14ac:dyDescent="0.2">
      <c r="A15" s="17" t="s">
        <v>27</v>
      </c>
      <c r="B15" s="26" t="s">
        <v>114</v>
      </c>
      <c r="C15" s="6"/>
      <c r="D15" s="16" t="str">
        <f t="shared" si="0"/>
        <v>ACP 2.5 (.140.25)</v>
      </c>
      <c r="E15" s="2"/>
      <c r="F15" s="7" t="s">
        <v>920</v>
      </c>
      <c r="G15" s="7" t="s">
        <v>28</v>
      </c>
      <c r="H15" s="167" t="s">
        <v>617</v>
      </c>
      <c r="I15" s="7" t="s">
        <v>616</v>
      </c>
      <c r="J15" s="248" t="s">
        <v>745</v>
      </c>
      <c r="K15" s="221"/>
      <c r="L15" s="10" t="s">
        <v>831</v>
      </c>
      <c r="M15" s="2"/>
      <c r="N15" s="12">
        <v>542081917</v>
      </c>
      <c r="O15" s="16" t="s">
        <v>597</v>
      </c>
      <c r="P15" s="135"/>
      <c r="Q15" s="135"/>
    </row>
    <row r="16" spans="1:20" ht="17" customHeight="1" x14ac:dyDescent="0.2">
      <c r="A16" s="17" t="s">
        <v>29</v>
      </c>
      <c r="B16" s="26" t="s">
        <v>114</v>
      </c>
      <c r="C16" s="6"/>
      <c r="D16" s="16" t="str">
        <f t="shared" si="0"/>
        <v>ACP 3.1 (.140.31)</v>
      </c>
      <c r="E16" s="2"/>
      <c r="F16" s="7" t="s">
        <v>921</v>
      </c>
      <c r="G16" s="7" t="s">
        <v>30</v>
      </c>
      <c r="H16" s="167" t="s">
        <v>617</v>
      </c>
      <c r="I16" s="7" t="s">
        <v>616</v>
      </c>
      <c r="J16" s="248" t="s">
        <v>745</v>
      </c>
      <c r="K16" s="221"/>
      <c r="L16" s="10" t="s">
        <v>846</v>
      </c>
      <c r="M16" s="2"/>
      <c r="N16" s="12">
        <v>542081914</v>
      </c>
      <c r="O16" s="16" t="s">
        <v>597</v>
      </c>
      <c r="P16" s="135"/>
      <c r="Q16" s="135"/>
    </row>
    <row r="17" spans="1:17" ht="17" customHeight="1" x14ac:dyDescent="0.2">
      <c r="A17" s="17" t="s">
        <v>31</v>
      </c>
      <c r="B17" s="26" t="s">
        <v>114</v>
      </c>
      <c r="C17" s="6"/>
      <c r="D17" s="16" t="str">
        <f t="shared" si="0"/>
        <v>ACP 3.2 (.140.32)</v>
      </c>
      <c r="E17" s="2"/>
      <c r="F17" s="7">
        <v>8377</v>
      </c>
      <c r="G17" s="7" t="s">
        <v>32</v>
      </c>
      <c r="H17" s="167" t="s">
        <v>617</v>
      </c>
      <c r="I17" s="7" t="s">
        <v>616</v>
      </c>
      <c r="J17" s="248" t="s">
        <v>745</v>
      </c>
      <c r="K17" s="221"/>
      <c r="L17" s="10" t="s">
        <v>847</v>
      </c>
      <c r="M17" s="2"/>
      <c r="N17" s="12">
        <v>542081911</v>
      </c>
      <c r="O17" s="16" t="s">
        <v>597</v>
      </c>
      <c r="P17" s="135"/>
      <c r="Q17" s="135"/>
    </row>
    <row r="18" spans="1:17" ht="17" customHeight="1" x14ac:dyDescent="0.2">
      <c r="A18" s="17" t="s">
        <v>33</v>
      </c>
      <c r="B18" s="26" t="s">
        <v>114</v>
      </c>
      <c r="C18" s="6"/>
      <c r="D18" s="16" t="str">
        <f t="shared" si="0"/>
        <v>ACP 3.3 (.140.33)</v>
      </c>
      <c r="E18" s="2"/>
      <c r="F18" s="7">
        <v>8378</v>
      </c>
      <c r="G18" s="7" t="s">
        <v>34</v>
      </c>
      <c r="H18" s="167" t="s">
        <v>617</v>
      </c>
      <c r="I18" s="7" t="s">
        <v>616</v>
      </c>
      <c r="J18" s="248" t="s">
        <v>745</v>
      </c>
      <c r="K18" s="221"/>
      <c r="L18" s="10" t="s">
        <v>848</v>
      </c>
      <c r="M18" s="2"/>
      <c r="N18" s="12">
        <v>542081912</v>
      </c>
      <c r="O18" s="16" t="s">
        <v>597</v>
      </c>
      <c r="P18" s="135"/>
      <c r="Q18" s="135"/>
    </row>
    <row r="19" spans="1:17" ht="17" customHeight="1" x14ac:dyDescent="0.2">
      <c r="A19" s="17" t="s">
        <v>35</v>
      </c>
      <c r="B19" s="26" t="s">
        <v>114</v>
      </c>
      <c r="C19" s="6"/>
      <c r="D19" s="16" t="str">
        <f t="shared" si="0"/>
        <v>ACP 3.4 (.140.34)</v>
      </c>
      <c r="E19" s="2"/>
      <c r="F19" s="7"/>
      <c r="G19" s="7" t="s">
        <v>36</v>
      </c>
      <c r="H19" s="167" t="s">
        <v>617</v>
      </c>
      <c r="I19" s="7" t="s">
        <v>616</v>
      </c>
      <c r="J19" s="22" t="s">
        <v>744</v>
      </c>
      <c r="K19" s="16"/>
      <c r="L19" s="259" t="s">
        <v>831</v>
      </c>
      <c r="M19" s="2"/>
      <c r="N19" s="12">
        <v>542082236</v>
      </c>
      <c r="O19" s="16" t="s">
        <v>597</v>
      </c>
      <c r="P19" s="135"/>
      <c r="Q19" s="135"/>
    </row>
    <row r="20" spans="1:17" ht="17" customHeight="1" x14ac:dyDescent="0.2">
      <c r="A20" s="17" t="s">
        <v>37</v>
      </c>
      <c r="B20" s="26" t="s">
        <v>114</v>
      </c>
      <c r="C20" s="250"/>
      <c r="D20" s="16" t="str">
        <f t="shared" si="0"/>
        <v>ACP 4.1 (.140.41)</v>
      </c>
      <c r="E20" s="2"/>
      <c r="F20" s="249"/>
      <c r="G20" s="7" t="s">
        <v>38</v>
      </c>
      <c r="H20" s="167" t="s">
        <v>617</v>
      </c>
      <c r="I20" s="7" t="s">
        <v>616</v>
      </c>
      <c r="J20" s="23" t="s">
        <v>746</v>
      </c>
      <c r="K20" s="16"/>
      <c r="L20" s="141">
        <v>1</v>
      </c>
      <c r="M20" s="2"/>
      <c r="N20" s="12">
        <v>542082257</v>
      </c>
      <c r="O20" s="16" t="s">
        <v>597</v>
      </c>
      <c r="P20" s="135"/>
      <c r="Q20" s="135"/>
    </row>
    <row r="21" spans="1:17" ht="17" customHeight="1" x14ac:dyDescent="0.2">
      <c r="A21" s="17" t="s">
        <v>39</v>
      </c>
      <c r="B21" s="26" t="s">
        <v>114</v>
      </c>
      <c r="C21" s="250"/>
      <c r="D21" s="16" t="str">
        <f t="shared" si="0"/>
        <v>ACP 4.2 (.140.42)</v>
      </c>
      <c r="E21" s="2"/>
      <c r="F21" s="249"/>
      <c r="G21" s="7" t="s">
        <v>40</v>
      </c>
      <c r="H21" s="167" t="s">
        <v>617</v>
      </c>
      <c r="I21" s="7" t="s">
        <v>616</v>
      </c>
      <c r="J21" s="23" t="s">
        <v>746</v>
      </c>
      <c r="K21" s="16"/>
      <c r="L21" s="141">
        <v>2</v>
      </c>
      <c r="M21" s="2"/>
      <c r="N21" s="12">
        <v>542082261</v>
      </c>
      <c r="O21" s="16" t="s">
        <v>597</v>
      </c>
      <c r="P21" s="135"/>
      <c r="Q21" s="135"/>
    </row>
    <row r="22" spans="1:17" ht="17" customHeight="1" x14ac:dyDescent="0.2">
      <c r="A22" s="17" t="s">
        <v>41</v>
      </c>
      <c r="B22" s="26" t="s">
        <v>114</v>
      </c>
      <c r="C22" s="250"/>
      <c r="D22" s="16" t="str">
        <f t="shared" si="0"/>
        <v>ACP 4.3 (.140.43)</v>
      </c>
      <c r="E22" s="2"/>
      <c r="F22" s="7"/>
      <c r="G22" s="7" t="s">
        <v>42</v>
      </c>
      <c r="H22" s="167" t="s">
        <v>617</v>
      </c>
      <c r="I22" s="7" t="s">
        <v>616</v>
      </c>
      <c r="J22" s="23" t="s">
        <v>746</v>
      </c>
      <c r="K22" s="16"/>
      <c r="L22" s="141">
        <v>3</v>
      </c>
      <c r="M22" s="2"/>
      <c r="N22" s="12">
        <v>542081916</v>
      </c>
      <c r="O22" s="16" t="s">
        <v>597</v>
      </c>
      <c r="P22" s="135"/>
      <c r="Q22" s="135"/>
    </row>
    <row r="23" spans="1:17" ht="17" customHeight="1" x14ac:dyDescent="0.2">
      <c r="A23" s="17" t="s">
        <v>43</v>
      </c>
      <c r="B23" s="26" t="s">
        <v>114</v>
      </c>
      <c r="C23" s="250"/>
      <c r="D23" s="16" t="str">
        <f t="shared" si="0"/>
        <v>ACP 4.4 (.140.44)</v>
      </c>
      <c r="E23" s="2"/>
      <c r="F23" s="7" t="s">
        <v>890</v>
      </c>
      <c r="G23" s="7" t="s">
        <v>44</v>
      </c>
      <c r="H23" s="167" t="s">
        <v>617</v>
      </c>
      <c r="I23" s="7" t="s">
        <v>616</v>
      </c>
      <c r="J23" s="24" t="s">
        <v>747</v>
      </c>
      <c r="K23" s="16"/>
      <c r="L23" s="140">
        <v>1</v>
      </c>
      <c r="M23" s="2"/>
      <c r="N23" s="12">
        <v>542082233</v>
      </c>
      <c r="O23" s="16" t="s">
        <v>597</v>
      </c>
      <c r="P23" s="135"/>
      <c r="Q23" s="135"/>
    </row>
    <row r="24" spans="1:17" ht="17" customHeight="1" x14ac:dyDescent="0.2">
      <c r="A24" s="17" t="s">
        <v>45</v>
      </c>
      <c r="B24" s="26" t="s">
        <v>114</v>
      </c>
      <c r="C24" s="6"/>
      <c r="D24" s="16" t="str">
        <f t="shared" si="0"/>
        <v>ACP 4.5 (.140.45)</v>
      </c>
      <c r="E24" s="2"/>
      <c r="F24" s="292"/>
      <c r="G24" s="7" t="s">
        <v>46</v>
      </c>
      <c r="H24" s="167" t="s">
        <v>617</v>
      </c>
      <c r="I24" s="7" t="s">
        <v>616</v>
      </c>
      <c r="J24" s="22" t="s">
        <v>744</v>
      </c>
      <c r="K24" s="16"/>
      <c r="L24" s="291" t="s">
        <v>829</v>
      </c>
      <c r="M24" s="2"/>
      <c r="N24" s="12">
        <v>542082238</v>
      </c>
      <c r="O24" s="16" t="s">
        <v>597</v>
      </c>
      <c r="P24" s="135"/>
      <c r="Q24" s="135"/>
    </row>
    <row r="25" spans="1:17" ht="17" customHeight="1" x14ac:dyDescent="0.2">
      <c r="A25" s="17" t="s">
        <v>47</v>
      </c>
      <c r="B25" s="26" t="s">
        <v>114</v>
      </c>
      <c r="C25" s="6"/>
      <c r="D25" s="16" t="str">
        <f t="shared" si="0"/>
        <v>ACP 4.6 (.140.46)</v>
      </c>
      <c r="E25" s="2"/>
      <c r="F25" s="249" t="s">
        <v>889</v>
      </c>
      <c r="G25" s="7" t="s">
        <v>48</v>
      </c>
      <c r="H25" s="167" t="s">
        <v>617</v>
      </c>
      <c r="I25" s="7" t="s">
        <v>616</v>
      </c>
      <c r="J25" s="24" t="s">
        <v>747</v>
      </c>
      <c r="K25" s="16"/>
      <c r="L25" s="140">
        <v>2</v>
      </c>
      <c r="M25" s="2"/>
      <c r="N25" s="12">
        <v>542081913</v>
      </c>
      <c r="O25" s="16" t="s">
        <v>597</v>
      </c>
      <c r="P25" s="135"/>
      <c r="Q25" s="135"/>
    </row>
    <row r="26" spans="1:17" ht="17" customHeight="1" x14ac:dyDescent="0.2">
      <c r="A26" s="20"/>
      <c r="B26" s="136"/>
      <c r="E26" s="2"/>
      <c r="F26" s="15"/>
      <c r="G26" s="15"/>
      <c r="H26" s="15"/>
      <c r="I26" s="15"/>
      <c r="J26" s="20"/>
      <c r="L26" s="137"/>
      <c r="M26" s="2"/>
      <c r="N26" s="12"/>
      <c r="P26" s="138"/>
      <c r="Q26" s="138"/>
    </row>
    <row r="27" spans="1:17" ht="17" customHeight="1" x14ac:dyDescent="0.2">
      <c r="A27" s="17" t="s">
        <v>757</v>
      </c>
      <c r="B27" s="16" t="s">
        <v>141</v>
      </c>
      <c r="C27" s="12" t="s">
        <v>52</v>
      </c>
      <c r="D27" s="255" t="s">
        <v>750</v>
      </c>
      <c r="E27" s="2"/>
      <c r="F27" s="218"/>
      <c r="G27" s="7" t="s">
        <v>51</v>
      </c>
      <c r="H27" s="167" t="s">
        <v>617</v>
      </c>
      <c r="I27" s="7" t="s">
        <v>616</v>
      </c>
      <c r="J27" s="8" t="s">
        <v>11</v>
      </c>
      <c r="K27" s="221"/>
      <c r="L27" s="9" t="s">
        <v>828</v>
      </c>
      <c r="M27" s="2"/>
      <c r="N27" s="12">
        <v>544148457</v>
      </c>
      <c r="O27" s="16" t="s">
        <v>719</v>
      </c>
      <c r="P27" s="16"/>
      <c r="Q27" s="143"/>
    </row>
    <row r="28" spans="1:17" ht="17" customHeight="1" x14ac:dyDescent="0.2">
      <c r="A28" s="17"/>
      <c r="B28" s="26"/>
      <c r="C28" s="6"/>
      <c r="E28" s="2"/>
      <c r="F28" s="16"/>
      <c r="G28" s="7" t="s">
        <v>53</v>
      </c>
      <c r="H28" s="167" t="s">
        <v>617</v>
      </c>
      <c r="I28" s="7" t="s">
        <v>616</v>
      </c>
      <c r="J28" s="8" t="s">
        <v>11</v>
      </c>
      <c r="K28" s="221"/>
      <c r="L28" s="9"/>
      <c r="M28" s="2"/>
      <c r="N28" s="12"/>
      <c r="O28" s="16"/>
      <c r="P28" s="143"/>
      <c r="Q28" s="143"/>
    </row>
    <row r="29" spans="1:17" ht="17" customHeight="1" x14ac:dyDescent="0.2">
      <c r="A29" s="17"/>
      <c r="B29" s="26"/>
      <c r="C29" s="6"/>
      <c r="D29" s="253"/>
      <c r="E29" s="2"/>
      <c r="F29" s="26"/>
      <c r="G29" s="7" t="s">
        <v>55</v>
      </c>
      <c r="H29" s="167" t="s">
        <v>617</v>
      </c>
      <c r="I29" s="7" t="s">
        <v>616</v>
      </c>
      <c r="J29" s="8" t="s">
        <v>11</v>
      </c>
      <c r="K29" s="221"/>
      <c r="L29" s="9"/>
      <c r="M29" s="2"/>
      <c r="N29" s="12"/>
      <c r="O29" s="16"/>
      <c r="P29" s="16"/>
      <c r="Q29" s="143"/>
    </row>
    <row r="30" spans="1:17" ht="17" customHeight="1" x14ac:dyDescent="0.2">
      <c r="A30" s="17" t="s">
        <v>49</v>
      </c>
      <c r="B30" s="16" t="s">
        <v>141</v>
      </c>
      <c r="C30" s="12" t="s">
        <v>56</v>
      </c>
      <c r="D30" s="255" t="s">
        <v>784</v>
      </c>
      <c r="E30" s="2"/>
      <c r="F30" s="7"/>
      <c r="G30" s="7" t="s">
        <v>57</v>
      </c>
      <c r="H30" s="167" t="s">
        <v>617</v>
      </c>
      <c r="I30" s="7" t="s">
        <v>616</v>
      </c>
      <c r="J30" s="8" t="s">
        <v>11</v>
      </c>
      <c r="K30" s="221"/>
      <c r="L30" s="277" t="s">
        <v>833</v>
      </c>
      <c r="M30" s="2"/>
      <c r="N30" s="12">
        <v>544148454</v>
      </c>
      <c r="O30" s="16" t="s">
        <v>719</v>
      </c>
      <c r="P30" s="16"/>
      <c r="Q30" s="143"/>
    </row>
    <row r="31" spans="1:17" ht="17" customHeight="1" x14ac:dyDescent="0.2">
      <c r="A31" s="17" t="s">
        <v>759</v>
      </c>
      <c r="B31" s="16" t="s">
        <v>141</v>
      </c>
      <c r="C31" s="13" t="s">
        <v>62</v>
      </c>
      <c r="D31" s="254" t="s">
        <v>852</v>
      </c>
      <c r="E31" s="2"/>
      <c r="F31" s="251"/>
      <c r="G31" s="7" t="s">
        <v>59</v>
      </c>
      <c r="H31" s="167" t="s">
        <v>617</v>
      </c>
      <c r="I31" s="7" t="s">
        <v>616</v>
      </c>
      <c r="J31" s="8" t="s">
        <v>11</v>
      </c>
      <c r="K31" s="221"/>
      <c r="L31" s="277" t="s">
        <v>829</v>
      </c>
      <c r="M31" s="2"/>
      <c r="N31" s="12">
        <v>544150502</v>
      </c>
      <c r="O31" s="16" t="s">
        <v>719</v>
      </c>
      <c r="P31" s="143"/>
      <c r="Q31" s="143"/>
    </row>
    <row r="32" spans="1:17" ht="17" customHeight="1" x14ac:dyDescent="0.2">
      <c r="A32" s="17" t="s">
        <v>757</v>
      </c>
      <c r="B32" s="16" t="s">
        <v>141</v>
      </c>
      <c r="C32" s="12" t="s">
        <v>54</v>
      </c>
      <c r="D32" s="255" t="s">
        <v>851</v>
      </c>
      <c r="E32" s="2"/>
      <c r="F32" s="7"/>
      <c r="G32" s="7" t="s">
        <v>61</v>
      </c>
      <c r="H32" s="167" t="s">
        <v>617</v>
      </c>
      <c r="I32" s="7" t="s">
        <v>616</v>
      </c>
      <c r="J32" s="8" t="s">
        <v>11</v>
      </c>
      <c r="K32" s="221"/>
      <c r="L32" s="277" t="s">
        <v>834</v>
      </c>
      <c r="M32" s="2"/>
      <c r="N32" s="12">
        <v>544148449</v>
      </c>
      <c r="O32" s="16" t="s">
        <v>719</v>
      </c>
      <c r="P32" s="143"/>
      <c r="Q32" s="143"/>
    </row>
    <row r="33" spans="1:18" ht="17" x14ac:dyDescent="0.2">
      <c r="A33" s="17" t="s">
        <v>758</v>
      </c>
      <c r="B33" s="16" t="s">
        <v>141</v>
      </c>
      <c r="C33" s="12" t="s">
        <v>50</v>
      </c>
      <c r="D33" s="256" t="s">
        <v>850</v>
      </c>
      <c r="E33" s="2"/>
      <c r="F33" s="148"/>
      <c r="G33" s="7" t="s">
        <v>63</v>
      </c>
      <c r="H33" s="167" t="s">
        <v>617</v>
      </c>
      <c r="I33" s="7" t="s">
        <v>616</v>
      </c>
      <c r="J33" s="8" t="s">
        <v>11</v>
      </c>
      <c r="K33" s="221"/>
      <c r="L33" s="277" t="s">
        <v>835</v>
      </c>
      <c r="M33" s="2"/>
      <c r="N33" s="12">
        <v>544148460</v>
      </c>
      <c r="O33" s="16" t="s">
        <v>719</v>
      </c>
      <c r="P33" s="16"/>
      <c r="Q33" s="16"/>
    </row>
    <row r="34" spans="1:18" ht="17" customHeight="1" x14ac:dyDescent="0.2">
      <c r="A34" s="17" t="s">
        <v>49</v>
      </c>
      <c r="B34" s="16" t="s">
        <v>141</v>
      </c>
      <c r="C34" s="13" t="s">
        <v>58</v>
      </c>
      <c r="D34" s="16" t="s">
        <v>783</v>
      </c>
      <c r="E34" s="2"/>
      <c r="F34" s="167" t="s">
        <v>923</v>
      </c>
      <c r="G34" s="7" t="s">
        <v>65</v>
      </c>
      <c r="H34" s="167" t="s">
        <v>617</v>
      </c>
      <c r="I34" s="7" t="s">
        <v>616</v>
      </c>
      <c r="J34" s="248" t="s">
        <v>745</v>
      </c>
      <c r="K34" s="221"/>
      <c r="L34" s="10">
        <v>6</v>
      </c>
      <c r="M34" s="2"/>
      <c r="N34" s="12">
        <v>544148451</v>
      </c>
      <c r="O34" s="16" t="s">
        <v>756</v>
      </c>
      <c r="P34" s="143"/>
      <c r="Q34" s="143"/>
    </row>
    <row r="35" spans="1:18" ht="17" customHeight="1" x14ac:dyDescent="0.2">
      <c r="A35" s="17" t="s">
        <v>1569</v>
      </c>
      <c r="B35" s="16" t="s">
        <v>141</v>
      </c>
      <c r="C35" s="448" t="s">
        <v>60</v>
      </c>
      <c r="D35" s="16" t="s">
        <v>782</v>
      </c>
      <c r="E35" s="2"/>
      <c r="F35" s="276" t="s">
        <v>924</v>
      </c>
      <c r="G35" s="7" t="s">
        <v>748</v>
      </c>
      <c r="H35" s="167" t="s">
        <v>617</v>
      </c>
      <c r="I35" s="7" t="s">
        <v>616</v>
      </c>
      <c r="J35" s="248" t="s">
        <v>745</v>
      </c>
      <c r="K35" s="221"/>
      <c r="L35" s="10" t="s">
        <v>849</v>
      </c>
      <c r="M35" s="2"/>
      <c r="N35" s="12">
        <v>544150497</v>
      </c>
      <c r="O35" s="16" t="s">
        <v>719</v>
      </c>
      <c r="Q35" s="143"/>
      <c r="R35" s="148" t="s">
        <v>825</v>
      </c>
    </row>
    <row r="36" spans="1:18" ht="17" customHeight="1" x14ac:dyDescent="0.2">
      <c r="A36" s="17" t="s">
        <v>49</v>
      </c>
      <c r="B36" s="16" t="s">
        <v>141</v>
      </c>
      <c r="C36" s="13" t="s">
        <v>64</v>
      </c>
      <c r="D36" s="14" t="s">
        <v>787</v>
      </c>
      <c r="E36" s="2"/>
      <c r="F36" s="7" t="s">
        <v>922</v>
      </c>
      <c r="G36" s="7" t="s">
        <v>749</v>
      </c>
      <c r="H36" s="167" t="s">
        <v>617</v>
      </c>
      <c r="I36" s="7" t="s">
        <v>616</v>
      </c>
      <c r="J36" s="248" t="s">
        <v>745</v>
      </c>
      <c r="K36" s="221"/>
      <c r="L36" s="10">
        <v>5</v>
      </c>
      <c r="M36" s="2"/>
      <c r="N36" s="12">
        <v>544150506</v>
      </c>
      <c r="O36" s="16" t="s">
        <v>756</v>
      </c>
      <c r="P36" s="143"/>
      <c r="Q36" s="143"/>
      <c r="R36" s="148" t="s">
        <v>824</v>
      </c>
    </row>
    <row r="37" spans="1:18" ht="17" customHeight="1" x14ac:dyDescent="0.2">
      <c r="A37" s="17" t="s">
        <v>763</v>
      </c>
      <c r="B37" s="16" t="s">
        <v>141</v>
      </c>
      <c r="C37" s="13"/>
      <c r="D37" s="16" t="s">
        <v>854</v>
      </c>
      <c r="E37" s="2"/>
      <c r="F37" s="167" t="s">
        <v>855</v>
      </c>
      <c r="G37" s="7" t="s">
        <v>853</v>
      </c>
      <c r="H37" s="167" t="s">
        <v>617</v>
      </c>
      <c r="I37" s="7" t="s">
        <v>616</v>
      </c>
      <c r="J37" s="8" t="s">
        <v>11</v>
      </c>
      <c r="K37" s="221"/>
      <c r="L37" s="277" t="s">
        <v>849</v>
      </c>
      <c r="M37" s="2"/>
      <c r="N37" s="12"/>
      <c r="O37" s="16"/>
      <c r="P37" s="143"/>
      <c r="Q37" s="143"/>
      <c r="R37" s="148">
        <v>5</v>
      </c>
    </row>
    <row r="38" spans="1:18" ht="17" customHeight="1" x14ac:dyDescent="0.2">
      <c r="A38" s="16"/>
      <c r="B38" s="26"/>
      <c r="C38" s="6"/>
      <c r="D38" s="6"/>
      <c r="E38" s="2"/>
      <c r="F38" s="7"/>
      <c r="G38" s="7"/>
      <c r="H38" s="7"/>
      <c r="I38" s="7"/>
      <c r="J38" s="7"/>
      <c r="K38" s="16"/>
      <c r="L38" s="139"/>
      <c r="M38" s="2"/>
      <c r="N38" s="12"/>
      <c r="O38" s="16"/>
      <c r="P38" s="143"/>
      <c r="Q38" s="143"/>
    </row>
    <row r="39" spans="1:18" ht="17" customHeight="1" x14ac:dyDescent="0.2">
      <c r="A39" s="20"/>
      <c r="B39" s="136"/>
      <c r="E39" s="15"/>
      <c r="F39" s="15"/>
      <c r="G39" s="15"/>
      <c r="H39" s="15"/>
      <c r="I39" s="15"/>
      <c r="J39" s="20"/>
      <c r="L39" s="137"/>
      <c r="M39" s="15"/>
      <c r="P39" s="138"/>
      <c r="Q39" s="138"/>
    </row>
    <row r="40" spans="1:18" ht="17" customHeight="1" x14ac:dyDescent="0.2">
      <c r="A40" s="17" t="s">
        <v>721</v>
      </c>
      <c r="B40" s="26"/>
      <c r="C40" s="13"/>
      <c r="D40" s="6"/>
      <c r="E40" s="133"/>
      <c r="F40" s="6" t="s">
        <v>826</v>
      </c>
      <c r="G40" s="7" t="s">
        <v>724</v>
      </c>
      <c r="H40" s="167" t="s">
        <v>617</v>
      </c>
      <c r="I40" s="7" t="s">
        <v>616</v>
      </c>
      <c r="J40" s="8" t="s">
        <v>11</v>
      </c>
      <c r="K40" s="249"/>
      <c r="L40" s="277" t="s">
        <v>836</v>
      </c>
      <c r="M40" s="2"/>
      <c r="N40" s="12"/>
      <c r="O40" s="222" t="s">
        <v>727</v>
      </c>
      <c r="P40" s="143"/>
      <c r="Q40" s="143"/>
    </row>
    <row r="41" spans="1:18" ht="17" customHeight="1" x14ac:dyDescent="0.2">
      <c r="A41" s="17" t="s">
        <v>722</v>
      </c>
      <c r="B41" s="26"/>
      <c r="C41" s="13"/>
      <c r="D41" s="6"/>
      <c r="E41" s="2"/>
      <c r="F41" s="7"/>
      <c r="G41" s="7" t="s">
        <v>725</v>
      </c>
      <c r="H41" s="167" t="s">
        <v>617</v>
      </c>
      <c r="I41" s="7" t="s">
        <v>616</v>
      </c>
      <c r="J41" s="8" t="s">
        <v>11</v>
      </c>
      <c r="K41" s="16"/>
      <c r="L41" s="277" t="s">
        <v>837</v>
      </c>
      <c r="M41" s="2"/>
      <c r="N41" s="12"/>
      <c r="O41" s="222" t="s">
        <v>727</v>
      </c>
      <c r="P41" s="143"/>
      <c r="Q41" s="143"/>
    </row>
    <row r="42" spans="1:18" ht="17" customHeight="1" x14ac:dyDescent="0.2">
      <c r="A42" s="17" t="s">
        <v>723</v>
      </c>
      <c r="B42" s="26"/>
      <c r="C42" s="13"/>
      <c r="D42" s="6"/>
      <c r="E42" s="2"/>
      <c r="F42" s="7"/>
      <c r="G42" s="7" t="s">
        <v>726</v>
      </c>
      <c r="H42" s="167" t="s">
        <v>617</v>
      </c>
      <c r="I42" s="7" t="s">
        <v>616</v>
      </c>
      <c r="J42" s="8" t="s">
        <v>11</v>
      </c>
      <c r="K42" s="16"/>
      <c r="L42" s="277" t="s">
        <v>838</v>
      </c>
      <c r="M42" s="2"/>
      <c r="N42" s="12"/>
      <c r="O42" s="222" t="s">
        <v>727</v>
      </c>
      <c r="P42" s="143"/>
      <c r="Q42" s="143"/>
    </row>
    <row r="45" spans="1:18" ht="28.75" customHeight="1" x14ac:dyDescent="0.2">
      <c r="A45" s="144" t="s">
        <v>113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</row>
    <row r="46" spans="1:18" ht="16.25" customHeight="1" x14ac:dyDescent="0.2">
      <c r="A46" s="142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</row>
    <row r="47" spans="1:18" ht="51" customHeight="1" x14ac:dyDescent="0.2">
      <c r="A47" s="37" t="s">
        <v>333</v>
      </c>
      <c r="B47" s="34" t="s">
        <v>115</v>
      </c>
      <c r="C47" s="29" t="s">
        <v>1</v>
      </c>
      <c r="D47" s="29" t="s">
        <v>320</v>
      </c>
      <c r="E47" s="30"/>
      <c r="F47" s="31" t="s">
        <v>97</v>
      </c>
      <c r="G47" s="32" t="s">
        <v>2</v>
      </c>
      <c r="H47" s="32" t="s">
        <v>614</v>
      </c>
      <c r="I47" s="32" t="s">
        <v>615</v>
      </c>
      <c r="J47" s="33" t="s">
        <v>3</v>
      </c>
      <c r="K47" s="33" t="s">
        <v>4</v>
      </c>
      <c r="L47" s="33" t="s">
        <v>5</v>
      </c>
      <c r="M47" s="30"/>
      <c r="N47" s="34" t="s">
        <v>6</v>
      </c>
      <c r="O47" s="35" t="s">
        <v>7</v>
      </c>
      <c r="P47" s="34" t="s">
        <v>8</v>
      </c>
      <c r="Q47" s="34" t="s">
        <v>111</v>
      </c>
    </row>
    <row r="48" spans="1:18" x14ac:dyDescent="0.2">
      <c r="A48" s="3"/>
      <c r="B48" s="1"/>
      <c r="C48" s="1"/>
      <c r="D48" s="1"/>
      <c r="E48" s="4"/>
      <c r="F48" s="5"/>
      <c r="G48" s="5"/>
      <c r="H48" s="5"/>
      <c r="I48" s="5"/>
      <c r="J48" s="1"/>
      <c r="K48" s="1"/>
      <c r="L48" s="1"/>
      <c r="M48" s="2"/>
      <c r="N48" s="1"/>
      <c r="O48" s="1"/>
      <c r="P48" s="1"/>
      <c r="Q48" s="1"/>
    </row>
    <row r="49" spans="1:17" ht="17" x14ac:dyDescent="0.2">
      <c r="A49" s="17" t="s">
        <v>9</v>
      </c>
      <c r="B49" s="26" t="s">
        <v>114</v>
      </c>
      <c r="C49" s="13"/>
      <c r="D49" s="13" t="str">
        <f t="shared" ref="D49:D61" si="1">A49</f>
        <v>ACP 1.1</v>
      </c>
      <c r="E49" s="18"/>
      <c r="F49" s="7" t="s">
        <v>101</v>
      </c>
      <c r="G49" s="7" t="s">
        <v>84</v>
      </c>
      <c r="H49" s="167" t="s">
        <v>617</v>
      </c>
      <c r="I49" s="7" t="s">
        <v>618</v>
      </c>
      <c r="J49" s="23" t="s">
        <v>145</v>
      </c>
      <c r="K49" s="16" t="s">
        <v>75</v>
      </c>
      <c r="L49" s="10">
        <v>1</v>
      </c>
      <c r="M49" s="2"/>
      <c r="N49" s="12">
        <v>542078247</v>
      </c>
      <c r="O49" s="16" t="s">
        <v>597</v>
      </c>
      <c r="P49" s="135"/>
      <c r="Q49" s="135"/>
    </row>
    <row r="50" spans="1:17" ht="17" x14ac:dyDescent="0.2">
      <c r="A50" s="17" t="s">
        <v>67</v>
      </c>
      <c r="B50" s="26" t="s">
        <v>114</v>
      </c>
      <c r="C50" s="13"/>
      <c r="D50" s="13" t="str">
        <f t="shared" si="1"/>
        <v>ACP 1.5</v>
      </c>
      <c r="E50" s="18"/>
      <c r="F50" s="7" t="s">
        <v>99</v>
      </c>
      <c r="G50" s="7" t="s">
        <v>80</v>
      </c>
      <c r="H50" s="167" t="s">
        <v>617</v>
      </c>
      <c r="I50" s="7" t="s">
        <v>618</v>
      </c>
      <c r="J50" s="8" t="s">
        <v>144</v>
      </c>
      <c r="K50" s="16" t="s">
        <v>74</v>
      </c>
      <c r="L50" s="9">
        <v>3</v>
      </c>
      <c r="M50" s="2"/>
      <c r="N50" s="12">
        <v>542077373</v>
      </c>
      <c r="O50" s="16" t="s">
        <v>597</v>
      </c>
      <c r="P50" s="135"/>
      <c r="Q50" s="135"/>
    </row>
    <row r="51" spans="1:17" ht="17" x14ac:dyDescent="0.2">
      <c r="A51" s="17" t="s">
        <v>19</v>
      </c>
      <c r="B51" s="26" t="s">
        <v>114</v>
      </c>
      <c r="C51" s="13"/>
      <c r="D51" s="13" t="str">
        <f t="shared" si="1"/>
        <v>ACP 2.1</v>
      </c>
      <c r="E51" s="18"/>
      <c r="F51" s="7" t="s">
        <v>102</v>
      </c>
      <c r="G51" s="7" t="s">
        <v>85</v>
      </c>
      <c r="H51" s="167" t="s">
        <v>617</v>
      </c>
      <c r="I51" s="7" t="s">
        <v>618</v>
      </c>
      <c r="J51" s="23" t="s">
        <v>145</v>
      </c>
      <c r="K51" s="16" t="s">
        <v>75</v>
      </c>
      <c r="L51" s="9">
        <v>3</v>
      </c>
      <c r="M51" s="2"/>
      <c r="N51" s="12">
        <v>542073938</v>
      </c>
      <c r="O51" s="16" t="s">
        <v>597</v>
      </c>
      <c r="P51" s="135"/>
      <c r="Q51" s="135"/>
    </row>
    <row r="52" spans="1:17" ht="17" x14ac:dyDescent="0.2">
      <c r="A52" s="17" t="s">
        <v>25</v>
      </c>
      <c r="B52" s="26" t="s">
        <v>114</v>
      </c>
      <c r="C52" s="13"/>
      <c r="D52" s="13" t="str">
        <f t="shared" si="1"/>
        <v>ACP 2.4</v>
      </c>
      <c r="E52" s="18"/>
      <c r="F52" s="7" t="s">
        <v>100</v>
      </c>
      <c r="G52" s="7" t="s">
        <v>82</v>
      </c>
      <c r="H52" s="167" t="s">
        <v>617</v>
      </c>
      <c r="I52" s="7" t="s">
        <v>618</v>
      </c>
      <c r="J52" s="8" t="s">
        <v>144</v>
      </c>
      <c r="K52" s="16" t="s">
        <v>74</v>
      </c>
      <c r="L52" s="9">
        <v>6</v>
      </c>
      <c r="M52" s="2"/>
      <c r="N52" s="12">
        <v>542077371</v>
      </c>
      <c r="O52" s="16" t="s">
        <v>597</v>
      </c>
      <c r="P52" s="135"/>
      <c r="Q52" s="135"/>
    </row>
    <row r="53" spans="1:17" ht="17" x14ac:dyDescent="0.2">
      <c r="A53" s="17" t="s">
        <v>66</v>
      </c>
      <c r="B53" s="26" t="s">
        <v>114</v>
      </c>
      <c r="C53" s="13" t="s">
        <v>2041</v>
      </c>
      <c r="D53" s="13" t="str">
        <f t="shared" si="1"/>
        <v>ACP 2.6</v>
      </c>
      <c r="E53" s="18"/>
      <c r="F53" s="7" t="s">
        <v>98</v>
      </c>
      <c r="G53" s="7" t="s">
        <v>79</v>
      </c>
      <c r="H53" s="167" t="s">
        <v>617</v>
      </c>
      <c r="I53" s="7" t="s">
        <v>618</v>
      </c>
      <c r="J53" s="8" t="s">
        <v>144</v>
      </c>
      <c r="K53" s="16" t="s">
        <v>74</v>
      </c>
      <c r="L53" s="9">
        <v>1</v>
      </c>
      <c r="M53" s="2"/>
      <c r="N53" s="12">
        <v>542077380</v>
      </c>
      <c r="O53" s="16" t="s">
        <v>597</v>
      </c>
      <c r="P53" s="135"/>
      <c r="Q53" s="135"/>
    </row>
    <row r="54" spans="1:17" ht="17" x14ac:dyDescent="0.2">
      <c r="A54" s="17" t="s">
        <v>68</v>
      </c>
      <c r="B54" s="26" t="s">
        <v>114</v>
      </c>
      <c r="C54" s="13" t="s">
        <v>2042</v>
      </c>
      <c r="D54" s="13" t="str">
        <f t="shared" si="1"/>
        <v>ACP 2.9</v>
      </c>
      <c r="E54" s="18"/>
      <c r="F54" s="7" t="s">
        <v>103</v>
      </c>
      <c r="G54" s="7" t="s">
        <v>86</v>
      </c>
      <c r="H54" s="167" t="s">
        <v>617</v>
      </c>
      <c r="I54" s="7" t="s">
        <v>618</v>
      </c>
      <c r="J54" s="23" t="s">
        <v>145</v>
      </c>
      <c r="K54" s="16" t="s">
        <v>75</v>
      </c>
      <c r="L54" s="10">
        <v>5</v>
      </c>
      <c r="M54" s="2"/>
      <c r="N54" s="12">
        <v>542077379</v>
      </c>
      <c r="O54" s="16" t="s">
        <v>597</v>
      </c>
      <c r="P54" s="135"/>
      <c r="Q54" s="135"/>
    </row>
    <row r="55" spans="1:17" ht="17" x14ac:dyDescent="0.2">
      <c r="A55" s="17" t="s">
        <v>37</v>
      </c>
      <c r="B55" s="26" t="s">
        <v>114</v>
      </c>
      <c r="C55" s="13"/>
      <c r="D55" s="13" t="str">
        <f t="shared" si="1"/>
        <v>ACP 4.1</v>
      </c>
      <c r="E55" s="18"/>
      <c r="F55" s="7" t="s">
        <v>106</v>
      </c>
      <c r="G55" s="7" t="s">
        <v>89</v>
      </c>
      <c r="H55" s="167" t="s">
        <v>617</v>
      </c>
      <c r="I55" s="7" t="s">
        <v>618</v>
      </c>
      <c r="J55" s="22" t="s">
        <v>148</v>
      </c>
      <c r="K55" s="16" t="s">
        <v>78</v>
      </c>
      <c r="L55" s="11">
        <v>1</v>
      </c>
      <c r="M55" s="2"/>
      <c r="N55" s="12">
        <v>542077382</v>
      </c>
      <c r="O55" s="16" t="s">
        <v>597</v>
      </c>
      <c r="P55" s="135"/>
      <c r="Q55" s="135"/>
    </row>
    <row r="56" spans="1:17" ht="17" x14ac:dyDescent="0.2">
      <c r="A56" s="17" t="s">
        <v>45</v>
      </c>
      <c r="B56" s="26" t="s">
        <v>114</v>
      </c>
      <c r="C56" s="13"/>
      <c r="D56" s="13" t="str">
        <f t="shared" si="1"/>
        <v>ACP 4.5</v>
      </c>
      <c r="E56" s="18"/>
      <c r="F56" s="7" t="s">
        <v>107</v>
      </c>
      <c r="G56" s="7" t="s">
        <v>91</v>
      </c>
      <c r="H56" s="167" t="s">
        <v>617</v>
      </c>
      <c r="I56" s="7" t="s">
        <v>618</v>
      </c>
      <c r="J56" s="22" t="s">
        <v>148</v>
      </c>
      <c r="K56" s="16" t="s">
        <v>78</v>
      </c>
      <c r="L56" s="9">
        <v>5</v>
      </c>
      <c r="M56" s="2"/>
      <c r="N56" s="12">
        <v>542077378</v>
      </c>
      <c r="O56" s="16" t="s">
        <v>597</v>
      </c>
      <c r="P56" s="135"/>
      <c r="Q56" s="135"/>
    </row>
    <row r="57" spans="1:17" ht="17" x14ac:dyDescent="0.2">
      <c r="A57" s="17" t="s">
        <v>71</v>
      </c>
      <c r="B57" s="26" t="s">
        <v>114</v>
      </c>
      <c r="C57" s="13"/>
      <c r="D57" s="13" t="str">
        <f t="shared" si="1"/>
        <v>ACP 4.7</v>
      </c>
      <c r="E57" s="18"/>
      <c r="F57" s="7" t="s">
        <v>108</v>
      </c>
      <c r="G57" s="7" t="s">
        <v>93</v>
      </c>
      <c r="H57" s="167" t="s">
        <v>617</v>
      </c>
      <c r="I57" s="7" t="s">
        <v>618</v>
      </c>
      <c r="J57" s="22" t="s">
        <v>148</v>
      </c>
      <c r="K57" s="16" t="s">
        <v>78</v>
      </c>
      <c r="L57" s="9">
        <v>8</v>
      </c>
      <c r="M57" s="2"/>
      <c r="N57" s="12">
        <v>542077071</v>
      </c>
      <c r="O57" s="16" t="s">
        <v>597</v>
      </c>
      <c r="P57" s="135"/>
      <c r="Q57" s="135"/>
    </row>
    <row r="58" spans="1:17" ht="17" x14ac:dyDescent="0.2">
      <c r="A58" s="17" t="s">
        <v>72</v>
      </c>
      <c r="B58" s="26" t="s">
        <v>114</v>
      </c>
      <c r="C58" s="13"/>
      <c r="D58" s="13" t="str">
        <f t="shared" si="1"/>
        <v>ACP 5.1</v>
      </c>
      <c r="E58" s="18"/>
      <c r="F58" s="7" t="s">
        <v>109</v>
      </c>
      <c r="G58" s="7" t="s">
        <v>94</v>
      </c>
      <c r="H58" s="167" t="s">
        <v>617</v>
      </c>
      <c r="I58" s="7" t="s">
        <v>618</v>
      </c>
      <c r="J58" s="22" t="s">
        <v>148</v>
      </c>
      <c r="K58" s="16" t="s">
        <v>78</v>
      </c>
      <c r="L58" s="9">
        <v>9</v>
      </c>
      <c r="M58" s="2"/>
      <c r="N58" s="12">
        <v>542078248</v>
      </c>
      <c r="O58" s="16" t="s">
        <v>597</v>
      </c>
      <c r="P58" s="135"/>
      <c r="Q58" s="135"/>
    </row>
    <row r="59" spans="1:17" ht="17" x14ac:dyDescent="0.2">
      <c r="A59" s="17" t="s">
        <v>73</v>
      </c>
      <c r="B59" s="26" t="s">
        <v>114</v>
      </c>
      <c r="C59" s="13"/>
      <c r="D59" s="13" t="str">
        <f t="shared" si="1"/>
        <v>ACP 5.3</v>
      </c>
      <c r="E59" s="18"/>
      <c r="F59" s="7" t="s">
        <v>110</v>
      </c>
      <c r="G59" s="7" t="s">
        <v>95</v>
      </c>
      <c r="H59" s="167" t="s">
        <v>617</v>
      </c>
      <c r="I59" s="7" t="s">
        <v>618</v>
      </c>
      <c r="J59" s="22" t="s">
        <v>148</v>
      </c>
      <c r="K59" s="16" t="s">
        <v>78</v>
      </c>
      <c r="L59" s="10">
        <v>11</v>
      </c>
      <c r="M59" s="2"/>
      <c r="N59" s="12">
        <v>542078246</v>
      </c>
      <c r="O59" s="16" t="s">
        <v>597</v>
      </c>
      <c r="P59" s="135"/>
      <c r="Q59" s="135"/>
    </row>
    <row r="60" spans="1:17" ht="17" x14ac:dyDescent="0.2">
      <c r="A60" s="17" t="s">
        <v>70</v>
      </c>
      <c r="B60" s="26" t="s">
        <v>114</v>
      </c>
      <c r="C60" s="13"/>
      <c r="D60" s="13" t="str">
        <f t="shared" si="1"/>
        <v>ACPNE 1</v>
      </c>
      <c r="E60" s="18"/>
      <c r="F60" s="7" t="s">
        <v>105</v>
      </c>
      <c r="G60" s="7" t="s">
        <v>88</v>
      </c>
      <c r="H60" s="167" t="s">
        <v>617</v>
      </c>
      <c r="I60" s="7" t="s">
        <v>618</v>
      </c>
      <c r="J60" s="25" t="s">
        <v>147</v>
      </c>
      <c r="K60" s="16" t="s">
        <v>77</v>
      </c>
      <c r="L60" s="9">
        <v>1</v>
      </c>
      <c r="M60" s="2"/>
      <c r="N60" s="12">
        <v>542075763</v>
      </c>
      <c r="O60" s="16" t="s">
        <v>597</v>
      </c>
      <c r="P60" s="135"/>
      <c r="Q60" s="135"/>
    </row>
    <row r="61" spans="1:17" ht="17" x14ac:dyDescent="0.2">
      <c r="A61" s="17" t="s">
        <v>69</v>
      </c>
      <c r="B61" s="26" t="s">
        <v>114</v>
      </c>
      <c r="C61" s="13"/>
      <c r="D61" s="13" t="str">
        <f t="shared" si="1"/>
        <v>ACPSE 1</v>
      </c>
      <c r="E61" s="18"/>
      <c r="F61" s="7" t="s">
        <v>104</v>
      </c>
      <c r="G61" s="7" t="s">
        <v>87</v>
      </c>
      <c r="H61" s="167" t="s">
        <v>617</v>
      </c>
      <c r="I61" s="7" t="s">
        <v>618</v>
      </c>
      <c r="J61" s="24" t="s">
        <v>146</v>
      </c>
      <c r="K61" s="16" t="s">
        <v>76</v>
      </c>
      <c r="L61" s="10">
        <v>1</v>
      </c>
      <c r="M61" s="2"/>
      <c r="N61" s="12" t="s">
        <v>96</v>
      </c>
      <c r="O61" s="16" t="s">
        <v>597</v>
      </c>
      <c r="P61" s="135"/>
      <c r="Q61" s="135"/>
    </row>
    <row r="62" spans="1:17" ht="51" x14ac:dyDescent="0.2">
      <c r="A62" s="27" t="s">
        <v>257</v>
      </c>
      <c r="B62" s="26" t="s">
        <v>311</v>
      </c>
      <c r="C62" s="38" t="s">
        <v>2046</v>
      </c>
      <c r="D62" s="38" t="s">
        <v>322</v>
      </c>
      <c r="E62" s="18"/>
      <c r="F62" s="6"/>
      <c r="H62" s="7"/>
      <c r="I62" s="6"/>
      <c r="J62" s="7" t="s">
        <v>313</v>
      </c>
      <c r="K62" s="12" t="s">
        <v>314</v>
      </c>
      <c r="L62" s="10"/>
      <c r="M62" s="2"/>
      <c r="N62" s="50" t="s">
        <v>323</v>
      </c>
      <c r="O62" s="634" t="s">
        <v>2065</v>
      </c>
      <c r="P62" s="135"/>
      <c r="Q62" s="135"/>
    </row>
    <row r="63" spans="1:17" ht="51" x14ac:dyDescent="0.2">
      <c r="A63" s="27" t="s">
        <v>265</v>
      </c>
      <c r="B63" s="26" t="s">
        <v>312</v>
      </c>
      <c r="C63" s="38" t="s">
        <v>2044</v>
      </c>
      <c r="D63" s="38" t="str">
        <f>_xlfn.CONCAT(A63,"(DM1)"&amp;CHAR(10)&amp;_xlfn.CONCAT(A63,"(DM2)"&amp;CHAR(10)&amp;_xlfn.CONCAT(A63,"(DM3)")))</f>
        <v>ACP1.3(DM1)
ACP1.3(DM2)
ACP1.3(DM3)</v>
      </c>
      <c r="E63" s="18"/>
      <c r="F63" s="7"/>
      <c r="G63" s="7"/>
      <c r="H63" s="7"/>
      <c r="I63" s="7"/>
      <c r="J63" s="7" t="s">
        <v>313</v>
      </c>
      <c r="K63" s="12" t="s">
        <v>314</v>
      </c>
      <c r="L63" s="10"/>
      <c r="M63" s="2"/>
      <c r="N63" s="50" t="s">
        <v>325</v>
      </c>
      <c r="O63" s="634" t="s">
        <v>2065</v>
      </c>
      <c r="P63" s="135"/>
      <c r="Q63" s="135"/>
    </row>
    <row r="64" spans="1:17" ht="34" x14ac:dyDescent="0.2">
      <c r="A64" s="27" t="s">
        <v>271</v>
      </c>
      <c r="B64" s="26" t="s">
        <v>312</v>
      </c>
      <c r="C64" s="13" t="s">
        <v>2045</v>
      </c>
      <c r="D64" s="38" t="str">
        <f>IF(MID(B64,1,1)="1",_xlfn.CONCAT(A64,"(DM1)"),IF(MID(B64,1,1)="2",_xlfn.CONCAT(A64,"(DM1)"&amp;CHAR(10)&amp;(_xlfn.CONCAT(A64,"(DM2)")))))</f>
        <v>ACP1.4(DM1)
ACP1.4(DM2)</v>
      </c>
      <c r="E64" s="18"/>
      <c r="F64" s="7"/>
      <c r="G64" s="7"/>
      <c r="H64" s="7"/>
      <c r="I64" s="7"/>
      <c r="J64" s="7" t="s">
        <v>313</v>
      </c>
      <c r="K64" s="12" t="s">
        <v>314</v>
      </c>
      <c r="L64" s="10"/>
      <c r="M64" s="2"/>
      <c r="N64" s="50" t="s">
        <v>324</v>
      </c>
      <c r="O64" s="634" t="s">
        <v>2065</v>
      </c>
      <c r="P64" s="135"/>
      <c r="Q64" s="135"/>
    </row>
    <row r="65" spans="1:17" ht="51" x14ac:dyDescent="0.2">
      <c r="A65" s="27" t="s">
        <v>286</v>
      </c>
      <c r="B65" s="26" t="s">
        <v>311</v>
      </c>
      <c r="C65" s="38" t="s">
        <v>2040</v>
      </c>
      <c r="D65" s="38" t="str">
        <f>_xlfn.CONCAT(A65,"(DM1)"&amp;CHAR(10)&amp;_xlfn.CONCAT(A65,"(DM2)"&amp;CHAR(10)&amp;_xlfn.CONCAT(A65,"(DM3)")))</f>
        <v>ACP2.2(DM1)
ACP2.2(DM2)
ACP2.2(DM3)</v>
      </c>
      <c r="E65" s="18"/>
      <c r="F65" s="7"/>
      <c r="G65" s="7"/>
      <c r="H65" s="7"/>
      <c r="I65" s="7"/>
      <c r="J65" s="7" t="s">
        <v>313</v>
      </c>
      <c r="K65" s="12" t="s">
        <v>315</v>
      </c>
      <c r="L65" s="10"/>
      <c r="M65" s="2"/>
      <c r="N65" s="50" t="s">
        <v>2038</v>
      </c>
      <c r="O65" s="634" t="s">
        <v>2065</v>
      </c>
      <c r="P65" s="135"/>
      <c r="Q65" s="135"/>
    </row>
    <row r="66" spans="1:17" ht="34" x14ac:dyDescent="0.2">
      <c r="A66" s="619" t="s">
        <v>287</v>
      </c>
      <c r="B66" s="620" t="s">
        <v>312</v>
      </c>
      <c r="C66" s="621" t="s">
        <v>2039</v>
      </c>
      <c r="D66" s="622" t="str">
        <f>IF(MID(B66,1,1)="1",_xlfn.CONCAT(A66,"(DM1)"),IF(MID(B66,1,1)="2",_xlfn.CONCAT(A66,"(DM1)"&amp;CHAR(10)&amp;(_xlfn.CONCAT(A66,"(DM2)")))))</f>
        <v>ACP2.3(DM1)
ACP2.3(DM2)</v>
      </c>
      <c r="E66" s="621"/>
      <c r="F66" s="623"/>
      <c r="G66" s="623"/>
      <c r="H66" s="623"/>
      <c r="I66" s="623"/>
      <c r="J66" s="623" t="s">
        <v>313</v>
      </c>
      <c r="K66" s="624" t="s">
        <v>316</v>
      </c>
      <c r="L66" s="625"/>
      <c r="M66" s="2"/>
      <c r="N66" s="626" t="s">
        <v>2037</v>
      </c>
      <c r="O66" s="624"/>
      <c r="P66" s="135"/>
      <c r="Q66" s="135"/>
    </row>
    <row r="67" spans="1:17" ht="51" x14ac:dyDescent="0.2">
      <c r="A67" s="27" t="s">
        <v>295</v>
      </c>
      <c r="B67" s="26" t="s">
        <v>311</v>
      </c>
      <c r="C67" s="13" t="s">
        <v>2048</v>
      </c>
      <c r="D67" s="38" t="str">
        <f>_xlfn.CONCAT(A67,"(DM1)"&amp;CHAR(10)&amp;_xlfn.CONCAT(A67,"(DM2)"&amp;CHAR(10)&amp;_xlfn.CONCAT(A67,"(DM3)")))</f>
        <v>ACP2.5(DM1)
ACP2.5(DM2)
ACP2.5(DM3)</v>
      </c>
      <c r="E67" s="18"/>
      <c r="F67" s="7"/>
      <c r="G67" s="7"/>
      <c r="H67" s="7"/>
      <c r="I67" s="7"/>
      <c r="J67" s="7" t="s">
        <v>313</v>
      </c>
      <c r="K67" s="12" t="s">
        <v>316</v>
      </c>
      <c r="L67" s="10"/>
      <c r="M67" s="2"/>
      <c r="N67" s="50" t="s">
        <v>326</v>
      </c>
      <c r="O67" s="634" t="s">
        <v>2065</v>
      </c>
      <c r="P67" s="135"/>
      <c r="Q67" s="135"/>
    </row>
    <row r="68" spans="1:17" ht="51" x14ac:dyDescent="0.2">
      <c r="A68" s="619" t="s">
        <v>299</v>
      </c>
      <c r="B68" s="620" t="s">
        <v>311</v>
      </c>
      <c r="C68" s="621" t="s">
        <v>2039</v>
      </c>
      <c r="D68" s="622" t="str">
        <f>_xlfn.CONCAT(A68,"(DM1)"&amp;CHAR(10)&amp;_xlfn.CONCAT(A68,"(DM2)"&amp;CHAR(10)&amp;_xlfn.CONCAT(A68,"(DM3)")))</f>
        <v>ACP2.7(DM1)
ACP2.7(DM2)
ACP2.7(DM3)</v>
      </c>
      <c r="E68" s="621"/>
      <c r="F68" s="623"/>
      <c r="G68" s="623"/>
      <c r="H68" s="623"/>
      <c r="I68" s="623"/>
      <c r="J68" s="623" t="s">
        <v>313</v>
      </c>
      <c r="K68" s="624" t="s">
        <v>316</v>
      </c>
      <c r="L68" s="625"/>
      <c r="M68" s="2"/>
      <c r="N68" s="626" t="s">
        <v>327</v>
      </c>
      <c r="O68" s="624"/>
      <c r="P68" s="135"/>
      <c r="Q68" s="135"/>
    </row>
    <row r="69" spans="1:17" ht="51" x14ac:dyDescent="0.2">
      <c r="A69" s="27" t="s">
        <v>300</v>
      </c>
      <c r="B69" s="26" t="s">
        <v>311</v>
      </c>
      <c r="C69" s="38" t="s">
        <v>2047</v>
      </c>
      <c r="D69" s="38" t="str">
        <f>_xlfn.CONCAT(A69,"(DM1)"&amp;CHAR(10)&amp;_xlfn.CONCAT(A69,"(DM2)"&amp;CHAR(10)&amp;_xlfn.CONCAT(A69,"(DM3)")))</f>
        <v>ACP2.8(DM1)
ACP2.8(DM2)
ACP2.8(DM3)</v>
      </c>
      <c r="E69" s="18"/>
      <c r="F69" s="7"/>
      <c r="G69" s="7"/>
      <c r="H69" s="7"/>
      <c r="I69" s="7"/>
      <c r="J69" s="7" t="s">
        <v>313</v>
      </c>
      <c r="K69" s="12" t="s">
        <v>316</v>
      </c>
      <c r="L69" s="10"/>
      <c r="M69" s="2"/>
      <c r="N69" s="50" t="s">
        <v>2053</v>
      </c>
      <c r="O69" s="634" t="s">
        <v>2065</v>
      </c>
      <c r="P69" s="135"/>
      <c r="Q69" s="135"/>
    </row>
    <row r="70" spans="1:17" ht="34" x14ac:dyDescent="0.2">
      <c r="A70" s="27" t="s">
        <v>171</v>
      </c>
      <c r="B70" s="26" t="s">
        <v>312</v>
      </c>
      <c r="C70" s="13" t="s">
        <v>2043</v>
      </c>
      <c r="D70" s="38" t="str">
        <f>IF(MID(B70,1,1)="1",_xlfn.CONCAT(A70,"(DM1)"),IF(MID(B70,1,1)="2",_xlfn.CONCAT(A70,"(DM1)"&amp;CHAR(10)&amp;(_xlfn.CONCAT(A70,"(DM2)")))))</f>
        <v>ACP4.2(DM1)
ACP4.2(DM2)</v>
      </c>
      <c r="E70" s="18"/>
      <c r="F70" s="7"/>
      <c r="G70" s="7"/>
      <c r="H70" s="7"/>
      <c r="I70" s="7"/>
      <c r="J70" s="7" t="s">
        <v>313</v>
      </c>
      <c r="K70" s="12" t="s">
        <v>317</v>
      </c>
      <c r="L70" s="10"/>
      <c r="M70" s="2"/>
      <c r="N70" s="50" t="s">
        <v>328</v>
      </c>
      <c r="O70" s="634" t="s">
        <v>2065</v>
      </c>
      <c r="P70" s="135"/>
      <c r="Q70" s="135"/>
    </row>
    <row r="71" spans="1:17" ht="51" x14ac:dyDescent="0.2">
      <c r="A71" s="27" t="s">
        <v>178</v>
      </c>
      <c r="B71" s="26" t="s">
        <v>311</v>
      </c>
      <c r="C71" s="13" t="s">
        <v>2049</v>
      </c>
      <c r="D71" s="38" t="str">
        <f>_xlfn.CONCAT(A71,"(DM1)"&amp;CHAR(10)&amp;_xlfn.CONCAT(A71,"(DM2)"&amp;CHAR(10)&amp;_xlfn.CONCAT(A71,"(DM3)")))</f>
        <v>ACP4.3(DM1)
ACP4.3(DM2)
ACP4.3(DM3)</v>
      </c>
      <c r="E71" s="18"/>
      <c r="F71" s="7"/>
      <c r="G71" s="7"/>
      <c r="H71" s="7"/>
      <c r="I71" s="7"/>
      <c r="J71" s="7" t="s">
        <v>313</v>
      </c>
      <c r="K71" s="12" t="s">
        <v>317</v>
      </c>
      <c r="L71" s="10"/>
      <c r="M71" s="2"/>
      <c r="N71" s="50" t="s">
        <v>329</v>
      </c>
      <c r="O71" s="634" t="s">
        <v>2065</v>
      </c>
      <c r="P71" s="135"/>
      <c r="Q71" s="135"/>
    </row>
    <row r="72" spans="1:17" ht="51" x14ac:dyDescent="0.2">
      <c r="A72" s="27" t="s">
        <v>185</v>
      </c>
      <c r="B72" s="26" t="s">
        <v>311</v>
      </c>
      <c r="C72" s="13" t="s">
        <v>2050</v>
      </c>
      <c r="D72" s="38" t="str">
        <f>_xlfn.CONCAT(A72,"(DM1)"&amp;CHAR(10)&amp;_xlfn.CONCAT(A72,"(DM2)"&amp;CHAR(10)&amp;_xlfn.CONCAT(A72,"(DM3)")))</f>
        <v>ACP4.4(DM1)
ACP4.4(DM2)
ACP4.4(DM3)</v>
      </c>
      <c r="E72" s="18"/>
      <c r="F72" s="7"/>
      <c r="G72" s="7"/>
      <c r="H72" s="7"/>
      <c r="I72" s="7"/>
      <c r="J72" s="7" t="s">
        <v>313</v>
      </c>
      <c r="K72" s="12" t="s">
        <v>317</v>
      </c>
      <c r="L72" s="10"/>
      <c r="M72" s="2"/>
      <c r="N72" s="50" t="s">
        <v>330</v>
      </c>
      <c r="O72" s="634" t="s">
        <v>2065</v>
      </c>
      <c r="P72" s="135"/>
      <c r="Q72" s="135"/>
    </row>
    <row r="73" spans="1:17" ht="51" x14ac:dyDescent="0.2">
      <c r="A73" s="27" t="s">
        <v>199</v>
      </c>
      <c r="B73" s="26" t="s">
        <v>311</v>
      </c>
      <c r="C73" s="13" t="s">
        <v>2051</v>
      </c>
      <c r="D73" s="38" t="str">
        <f>_xlfn.CONCAT(A73,"(DM1)"&amp;CHAR(10)&amp;_xlfn.CONCAT(A73,"(DM2)"&amp;CHAR(10)&amp;_xlfn.CONCAT(A73,"(DM3)")))</f>
        <v>ACP4.6(DM1)
ACP4.6(DM2)
ACP4.6(DM3)</v>
      </c>
      <c r="E73" s="18"/>
      <c r="F73" s="7"/>
      <c r="G73" s="7"/>
      <c r="H73" s="7"/>
      <c r="I73" s="7"/>
      <c r="J73" s="7" t="s">
        <v>313</v>
      </c>
      <c r="K73" s="12" t="s">
        <v>318</v>
      </c>
      <c r="L73" s="10"/>
      <c r="M73" s="2"/>
      <c r="N73" s="50" t="s">
        <v>331</v>
      </c>
      <c r="O73" s="634" t="s">
        <v>2065</v>
      </c>
      <c r="P73" s="135"/>
      <c r="Q73" s="135"/>
    </row>
    <row r="74" spans="1:17" ht="34" x14ac:dyDescent="0.2">
      <c r="A74" s="619" t="s">
        <v>210</v>
      </c>
      <c r="B74" s="620" t="s">
        <v>312</v>
      </c>
      <c r="C74" s="621" t="s">
        <v>2039</v>
      </c>
      <c r="D74" s="622" t="str">
        <f>IF(MID(B74,1,1)="1",_xlfn.CONCAT(A74,"(DM1)"),IF(MID(B74,1,1)="2",_xlfn.CONCAT(A74,"(DM1)"&amp;CHAR(10)&amp;(_xlfn.CONCAT(A74,"(DM2)")))))</f>
        <v>ACP4.8(DM1)
ACP4.8(DM2)</v>
      </c>
      <c r="E74" s="621"/>
      <c r="F74" s="623"/>
      <c r="G74" s="623"/>
      <c r="H74" s="623"/>
      <c r="I74" s="623"/>
      <c r="J74" s="623" t="s">
        <v>313</v>
      </c>
      <c r="K74" s="624" t="s">
        <v>319</v>
      </c>
      <c r="L74" s="625"/>
      <c r="M74" s="2"/>
      <c r="N74" s="626" t="s">
        <v>2089</v>
      </c>
      <c r="O74" s="624"/>
      <c r="P74" s="135"/>
      <c r="Q74" s="135"/>
    </row>
    <row r="75" spans="1:17" ht="51" x14ac:dyDescent="0.2">
      <c r="A75" s="27" t="s">
        <v>213</v>
      </c>
      <c r="B75" s="26" t="s">
        <v>311</v>
      </c>
      <c r="C75" s="13" t="s">
        <v>2052</v>
      </c>
      <c r="D75" s="38" t="str">
        <f>_xlfn.CONCAT(A75,"(DM1)"&amp;CHAR(10)&amp;_xlfn.CONCAT(A75,"(DM2)"&amp;CHAR(10)&amp;_xlfn.CONCAT(A75,"(DM3)")))</f>
        <v>ACP4.9(DM1)
ACP4.9(DM2)
ACP4.9(DM3)</v>
      </c>
      <c r="E75" s="18"/>
      <c r="F75" s="7"/>
      <c r="G75" s="7"/>
      <c r="H75" s="7"/>
      <c r="I75" s="7"/>
      <c r="J75" s="7" t="s">
        <v>313</v>
      </c>
      <c r="K75" s="12" t="s">
        <v>319</v>
      </c>
      <c r="L75" s="10"/>
      <c r="M75" s="2"/>
      <c r="N75" s="50" t="s">
        <v>332</v>
      </c>
      <c r="O75" s="634" t="s">
        <v>2065</v>
      </c>
      <c r="P75" s="135"/>
      <c r="Q75" s="135"/>
    </row>
    <row r="76" spans="1:17" x14ac:dyDescent="0.2">
      <c r="A76" s="146"/>
      <c r="B76" s="136"/>
      <c r="C76" s="21"/>
      <c r="D76" s="65"/>
      <c r="E76" s="21"/>
      <c r="F76" s="15"/>
      <c r="G76" s="15"/>
      <c r="H76" s="15"/>
      <c r="I76" s="15"/>
      <c r="J76" s="15"/>
      <c r="K76" s="130"/>
      <c r="L76" s="147"/>
      <c r="M76" s="15"/>
      <c r="N76" s="124"/>
      <c r="P76" s="138"/>
      <c r="Q76" s="138"/>
    </row>
    <row r="77" spans="1:17" ht="17" x14ac:dyDescent="0.2">
      <c r="A77" s="17" t="s">
        <v>49</v>
      </c>
      <c r="B77" s="16" t="s">
        <v>2056</v>
      </c>
      <c r="C77" s="16" t="s">
        <v>296</v>
      </c>
      <c r="D77" s="16" t="s">
        <v>2086</v>
      </c>
      <c r="E77" s="145"/>
      <c r="F77" s="7" t="s">
        <v>2061</v>
      </c>
      <c r="G77" s="7" t="s">
        <v>2083</v>
      </c>
      <c r="H77" s="167" t="s">
        <v>617</v>
      </c>
      <c r="I77" s="7" t="s">
        <v>618</v>
      </c>
      <c r="J77" s="7" t="s">
        <v>2068</v>
      </c>
      <c r="K77" s="12"/>
      <c r="L77" s="10"/>
      <c r="M77" s="2"/>
      <c r="N77" s="50">
        <v>544142905</v>
      </c>
      <c r="O77" s="16" t="s">
        <v>1493</v>
      </c>
      <c r="P77" s="135"/>
      <c r="Q77" s="135"/>
    </row>
    <row r="78" spans="1:17" ht="17" x14ac:dyDescent="0.2">
      <c r="A78" s="17" t="s">
        <v>49</v>
      </c>
      <c r="B78" s="16" t="s">
        <v>2056</v>
      </c>
      <c r="C78" s="16" t="s">
        <v>278</v>
      </c>
      <c r="D78" s="16" t="s">
        <v>2070</v>
      </c>
      <c r="E78" s="145"/>
      <c r="F78" s="7" t="s">
        <v>2061</v>
      </c>
      <c r="G78" s="7" t="s">
        <v>83</v>
      </c>
      <c r="H78" s="167" t="s">
        <v>617</v>
      </c>
      <c r="I78" s="7" t="s">
        <v>618</v>
      </c>
      <c r="J78" s="7" t="s">
        <v>2068</v>
      </c>
      <c r="K78" s="12"/>
      <c r="L78" s="10"/>
      <c r="M78" s="2"/>
      <c r="N78" s="50">
        <v>544142908</v>
      </c>
      <c r="O78" s="16" t="s">
        <v>1493</v>
      </c>
      <c r="P78" s="135"/>
      <c r="Q78" s="135"/>
    </row>
    <row r="79" spans="1:17" ht="17" x14ac:dyDescent="0.2">
      <c r="A79" s="17" t="s">
        <v>49</v>
      </c>
      <c r="B79" s="16" t="s">
        <v>2056</v>
      </c>
      <c r="C79" s="16" t="s">
        <v>2082</v>
      </c>
      <c r="D79" s="16" t="s">
        <v>2064</v>
      </c>
      <c r="E79" s="145"/>
      <c r="F79" s="7"/>
      <c r="G79" s="7" t="s">
        <v>81</v>
      </c>
      <c r="H79" s="167" t="s">
        <v>617</v>
      </c>
      <c r="I79" s="7" t="s">
        <v>618</v>
      </c>
      <c r="J79" s="7"/>
      <c r="K79" s="12"/>
      <c r="L79" s="10"/>
      <c r="M79" s="2"/>
      <c r="N79" s="50">
        <v>544142441</v>
      </c>
      <c r="O79" s="16" t="s">
        <v>1493</v>
      </c>
      <c r="P79" s="135"/>
      <c r="Q79" s="135"/>
    </row>
    <row r="80" spans="1:17" ht="17" x14ac:dyDescent="0.2">
      <c r="A80" s="17" t="s">
        <v>49</v>
      </c>
      <c r="B80" s="16" t="s">
        <v>2056</v>
      </c>
      <c r="C80" s="16" t="s">
        <v>288</v>
      </c>
      <c r="D80" s="16" t="s">
        <v>2069</v>
      </c>
      <c r="E80" s="145"/>
      <c r="F80" s="7"/>
      <c r="G80" s="7" t="s">
        <v>92</v>
      </c>
      <c r="H80" s="167" t="s">
        <v>617</v>
      </c>
      <c r="I80" s="7" t="s">
        <v>618</v>
      </c>
      <c r="J80" s="7"/>
      <c r="K80" s="12"/>
      <c r="L80" s="10"/>
      <c r="M80" s="2"/>
      <c r="N80" s="50">
        <v>544142904</v>
      </c>
      <c r="O80" s="14" t="s">
        <v>1493</v>
      </c>
      <c r="P80" s="135"/>
      <c r="Q80" s="135"/>
    </row>
    <row r="81" spans="1:17" ht="17" x14ac:dyDescent="0.2">
      <c r="A81" s="17" t="s">
        <v>49</v>
      </c>
      <c r="B81" s="16" t="s">
        <v>2056</v>
      </c>
      <c r="C81" s="16" t="s">
        <v>290</v>
      </c>
      <c r="D81" s="16" t="s">
        <v>2066</v>
      </c>
      <c r="E81" s="145"/>
      <c r="F81" s="7"/>
      <c r="G81" s="7" t="s">
        <v>90</v>
      </c>
      <c r="H81" s="167" t="s">
        <v>617</v>
      </c>
      <c r="I81" s="7" t="s">
        <v>618</v>
      </c>
      <c r="J81" s="7"/>
      <c r="K81" s="12"/>
      <c r="L81" s="10"/>
      <c r="M81" s="2"/>
      <c r="N81" s="50">
        <v>544140818</v>
      </c>
      <c r="O81" s="16" t="s">
        <v>1493</v>
      </c>
      <c r="P81" s="135"/>
      <c r="Q81" s="135"/>
    </row>
    <row r="82" spans="1:17" ht="17" x14ac:dyDescent="0.2">
      <c r="A82" s="17" t="s">
        <v>49</v>
      </c>
      <c r="B82" s="16" t="s">
        <v>2056</v>
      </c>
      <c r="C82" s="16" t="s">
        <v>2088</v>
      </c>
      <c r="D82" s="16" t="s">
        <v>2087</v>
      </c>
      <c r="E82" s="145"/>
      <c r="F82" s="7"/>
      <c r="G82" s="7" t="s">
        <v>2083</v>
      </c>
      <c r="H82" s="167" t="s">
        <v>617</v>
      </c>
      <c r="I82" s="7" t="s">
        <v>618</v>
      </c>
      <c r="J82" s="7"/>
      <c r="K82" s="12"/>
      <c r="L82" s="10"/>
      <c r="M82" s="2"/>
      <c r="N82" s="50">
        <v>544142900</v>
      </c>
      <c r="O82" s="16" t="s">
        <v>1493</v>
      </c>
      <c r="P82" s="135"/>
      <c r="Q82" s="135"/>
    </row>
    <row r="83" spans="1:17" ht="17" x14ac:dyDescent="0.2">
      <c r="A83" s="17" t="s">
        <v>49</v>
      </c>
      <c r="B83" s="16" t="s">
        <v>2056</v>
      </c>
      <c r="C83" s="16" t="s">
        <v>2079</v>
      </c>
      <c r="D83" s="16" t="s">
        <v>2067</v>
      </c>
      <c r="E83" s="145"/>
      <c r="F83" s="7"/>
      <c r="G83" s="7" t="s">
        <v>600</v>
      </c>
      <c r="H83" s="167" t="s">
        <v>617</v>
      </c>
      <c r="I83" s="7" t="s">
        <v>618</v>
      </c>
      <c r="J83" s="7" t="s">
        <v>2068</v>
      </c>
      <c r="K83" s="12"/>
      <c r="L83" s="10"/>
      <c r="M83" s="2"/>
      <c r="N83" s="50">
        <v>544142648</v>
      </c>
      <c r="O83" s="16" t="s">
        <v>1493</v>
      </c>
      <c r="P83" s="135"/>
      <c r="Q83" s="135"/>
    </row>
    <row r="84" spans="1:17" ht="17" x14ac:dyDescent="0.2">
      <c r="A84" s="17" t="s">
        <v>49</v>
      </c>
      <c r="B84" s="16" t="s">
        <v>2056</v>
      </c>
      <c r="C84" s="16" t="s">
        <v>254</v>
      </c>
      <c r="D84" s="16" t="s">
        <v>2090</v>
      </c>
      <c r="E84" s="145"/>
      <c r="F84" s="116" t="s">
        <v>2061</v>
      </c>
      <c r="G84" s="7" t="s">
        <v>2083</v>
      </c>
      <c r="H84" s="282" t="s">
        <v>617</v>
      </c>
      <c r="I84" s="116" t="s">
        <v>618</v>
      </c>
      <c r="J84" s="116"/>
      <c r="K84" s="170"/>
      <c r="L84" s="627"/>
      <c r="M84" s="115"/>
      <c r="N84" s="257">
        <v>544142454</v>
      </c>
      <c r="O84" s="16" t="s">
        <v>1493</v>
      </c>
      <c r="P84" s="284"/>
      <c r="Q84" s="284"/>
    </row>
    <row r="85" spans="1:17" ht="17" x14ac:dyDescent="0.2">
      <c r="A85" s="17" t="s">
        <v>49</v>
      </c>
      <c r="B85" s="16" t="s">
        <v>2056</v>
      </c>
      <c r="C85" s="16" t="s">
        <v>2055</v>
      </c>
      <c r="D85" s="16" t="s">
        <v>2057</v>
      </c>
      <c r="E85" s="18"/>
      <c r="F85" s="7"/>
      <c r="G85" s="7" t="s">
        <v>2054</v>
      </c>
      <c r="H85" s="167" t="s">
        <v>617</v>
      </c>
      <c r="I85" s="7" t="s">
        <v>618</v>
      </c>
      <c r="J85" s="7"/>
      <c r="K85" s="12"/>
      <c r="L85" s="10"/>
      <c r="M85" s="2"/>
      <c r="N85" s="50">
        <v>544142444</v>
      </c>
      <c r="O85" s="16" t="s">
        <v>1493</v>
      </c>
      <c r="P85" s="135"/>
      <c r="Q85" s="135"/>
    </row>
    <row r="86" spans="1:17" ht="17" x14ac:dyDescent="0.2">
      <c r="A86" s="17" t="s">
        <v>49</v>
      </c>
      <c r="B86" s="16" t="s">
        <v>2056</v>
      </c>
      <c r="C86" s="16" t="s">
        <v>2059</v>
      </c>
      <c r="D86" s="16" t="s">
        <v>2060</v>
      </c>
      <c r="E86" s="18"/>
      <c r="F86" s="7"/>
      <c r="G86" s="7" t="s">
        <v>2058</v>
      </c>
      <c r="H86" s="167" t="s">
        <v>617</v>
      </c>
      <c r="I86" s="7" t="s">
        <v>618</v>
      </c>
      <c r="J86" s="7"/>
      <c r="K86" s="12"/>
      <c r="L86" s="10"/>
      <c r="M86" s="2"/>
      <c r="N86" s="50">
        <v>544142898</v>
      </c>
      <c r="O86" s="16" t="s">
        <v>1493</v>
      </c>
      <c r="P86" s="135"/>
      <c r="Q86" s="135"/>
    </row>
    <row r="87" spans="1:17" ht="17" x14ac:dyDescent="0.2">
      <c r="A87" s="17" t="s">
        <v>49</v>
      </c>
      <c r="B87" s="16" t="s">
        <v>2056</v>
      </c>
      <c r="C87" s="618" t="s">
        <v>2080</v>
      </c>
      <c r="D87" s="618" t="s">
        <v>2063</v>
      </c>
      <c r="E87" s="145"/>
      <c r="F87" s="116"/>
      <c r="G87" s="116" t="s">
        <v>2062</v>
      </c>
      <c r="H87" s="282" t="s">
        <v>617</v>
      </c>
      <c r="I87" s="116" t="s">
        <v>618</v>
      </c>
      <c r="J87" s="116"/>
      <c r="K87" s="170"/>
      <c r="L87" s="627"/>
      <c r="M87" s="115"/>
      <c r="N87" s="257">
        <v>544142800</v>
      </c>
      <c r="O87" s="16" t="s">
        <v>1493</v>
      </c>
      <c r="P87" s="135"/>
      <c r="Q87" s="135"/>
    </row>
    <row r="88" spans="1:17" ht="17" x14ac:dyDescent="0.2">
      <c r="A88" s="17" t="s">
        <v>49</v>
      </c>
      <c r="B88" s="16" t="s">
        <v>2056</v>
      </c>
      <c r="C88" s="16" t="s">
        <v>2081</v>
      </c>
      <c r="D88" s="16" t="s">
        <v>2077</v>
      </c>
      <c r="E88" s="18"/>
      <c r="F88" s="7" t="s">
        <v>2078</v>
      </c>
      <c r="G88" s="7" t="s">
        <v>2083</v>
      </c>
      <c r="H88" s="167"/>
      <c r="I88" s="7"/>
      <c r="J88" s="7" t="s">
        <v>2068</v>
      </c>
      <c r="K88" s="12"/>
      <c r="L88" s="10"/>
      <c r="M88" s="2"/>
      <c r="N88" s="50">
        <v>544109731</v>
      </c>
      <c r="O88" s="16" t="s">
        <v>1493</v>
      </c>
      <c r="P88" s="217"/>
      <c r="Q88" s="217"/>
    </row>
    <row r="89" spans="1:17" x14ac:dyDescent="0.2">
      <c r="B89" s="15"/>
      <c r="F89" s="15"/>
      <c r="G89" s="15"/>
      <c r="H89" s="15"/>
      <c r="I89" s="15"/>
      <c r="J89" s="15"/>
      <c r="L89" s="19"/>
      <c r="M89" s="15"/>
    </row>
    <row r="90" spans="1:17" ht="26" x14ac:dyDescent="0.2">
      <c r="A90" s="142" t="s">
        <v>143</v>
      </c>
      <c r="B90" s="36" t="s">
        <v>321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</row>
    <row r="91" spans="1:17" ht="16.25" customHeight="1" x14ac:dyDescent="0.2">
      <c r="A91" s="142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</row>
    <row r="92" spans="1:17" ht="51" customHeight="1" x14ac:dyDescent="0.2">
      <c r="A92" s="28" t="s">
        <v>0</v>
      </c>
      <c r="B92" s="34" t="s">
        <v>115</v>
      </c>
      <c r="C92" s="29" t="s">
        <v>1</v>
      </c>
      <c r="D92" s="29" t="s">
        <v>320</v>
      </c>
      <c r="E92" s="30"/>
      <c r="F92" s="31" t="s">
        <v>97</v>
      </c>
      <c r="G92" s="32" t="s">
        <v>2</v>
      </c>
      <c r="H92" s="32" t="s">
        <v>614</v>
      </c>
      <c r="I92" s="32" t="s">
        <v>615</v>
      </c>
      <c r="J92" s="33" t="s">
        <v>3</v>
      </c>
      <c r="K92" s="33" t="s">
        <v>4</v>
      </c>
      <c r="L92" s="33" t="s">
        <v>5</v>
      </c>
      <c r="M92" s="30"/>
      <c r="N92" s="34" t="s">
        <v>6</v>
      </c>
      <c r="O92" s="35" t="s">
        <v>7</v>
      </c>
      <c r="P92" s="34" t="s">
        <v>8</v>
      </c>
      <c r="Q92" s="34" t="s">
        <v>111</v>
      </c>
    </row>
    <row r="93" spans="1:17" x14ac:dyDescent="0.2">
      <c r="A93" s="3"/>
      <c r="B93" s="1"/>
      <c r="C93" s="1"/>
      <c r="D93" s="1"/>
      <c r="E93" s="4"/>
      <c r="F93" s="5"/>
      <c r="G93" s="5"/>
      <c r="H93" s="5"/>
      <c r="I93" s="5"/>
      <c r="J93" s="1"/>
      <c r="K93" s="1"/>
      <c r="L93" s="1"/>
      <c r="M93" s="2"/>
      <c r="N93" s="1"/>
      <c r="O93" s="1"/>
      <c r="P93" s="1"/>
      <c r="Q93" s="1"/>
    </row>
    <row r="94" spans="1:17" ht="17" x14ac:dyDescent="0.2">
      <c r="A94" s="17" t="s">
        <v>49</v>
      </c>
      <c r="B94" s="16" t="s">
        <v>141</v>
      </c>
      <c r="C94" s="13" t="s">
        <v>116</v>
      </c>
      <c r="D94" s="13"/>
      <c r="E94" s="18"/>
      <c r="F94" s="7"/>
      <c r="G94" s="7" t="s">
        <v>718</v>
      </c>
      <c r="H94" s="167" t="s">
        <v>617</v>
      </c>
      <c r="I94" s="7">
        <v>39.1</v>
      </c>
      <c r="J94" s="8" t="s">
        <v>133</v>
      </c>
      <c r="K94" s="16"/>
      <c r="L94" s="10">
        <v>3</v>
      </c>
      <c r="M94" s="2"/>
      <c r="N94" s="12">
        <v>544109721</v>
      </c>
      <c r="O94" s="16"/>
      <c r="P94" s="135"/>
      <c r="Q94" s="135"/>
    </row>
    <row r="95" spans="1:17" ht="17" x14ac:dyDescent="0.2">
      <c r="A95" s="17" t="s">
        <v>49</v>
      </c>
      <c r="B95" s="16" t="s">
        <v>141</v>
      </c>
      <c r="C95" s="13" t="s">
        <v>118</v>
      </c>
      <c r="D95" s="13"/>
      <c r="E95" s="18"/>
      <c r="F95" s="7"/>
      <c r="G95" s="7" t="s">
        <v>122</v>
      </c>
      <c r="H95" s="167" t="s">
        <v>617</v>
      </c>
      <c r="I95" s="7" t="s">
        <v>619</v>
      </c>
      <c r="J95" s="8" t="s">
        <v>133</v>
      </c>
      <c r="K95" s="16"/>
      <c r="L95" s="10">
        <v>4</v>
      </c>
      <c r="M95" s="2"/>
      <c r="N95" s="12">
        <v>544109732</v>
      </c>
      <c r="O95" s="16"/>
      <c r="P95" s="135"/>
      <c r="Q95" s="135"/>
    </row>
    <row r="96" spans="1:17" ht="17" x14ac:dyDescent="0.2">
      <c r="A96" s="17" t="s">
        <v>49</v>
      </c>
      <c r="B96" s="16" t="s">
        <v>141</v>
      </c>
      <c r="C96" s="13" t="s">
        <v>119</v>
      </c>
      <c r="D96" s="13"/>
      <c r="E96" s="18"/>
      <c r="F96" s="7"/>
      <c r="G96" s="7" t="s">
        <v>123</v>
      </c>
      <c r="H96" s="167" t="s">
        <v>617</v>
      </c>
      <c r="I96" s="7" t="s">
        <v>619</v>
      </c>
      <c r="J96" s="8" t="s">
        <v>133</v>
      </c>
      <c r="K96" s="16"/>
      <c r="L96" s="10">
        <v>5</v>
      </c>
      <c r="M96" s="2"/>
      <c r="N96" s="12">
        <v>544109713</v>
      </c>
      <c r="O96" s="16"/>
      <c r="P96" s="135"/>
      <c r="Q96" s="135"/>
    </row>
    <row r="97" spans="1:17" ht="17" x14ac:dyDescent="0.2">
      <c r="A97" s="17" t="s">
        <v>49</v>
      </c>
      <c r="B97" s="16" t="s">
        <v>141</v>
      </c>
      <c r="C97" s="13" t="s">
        <v>117</v>
      </c>
      <c r="D97" s="13"/>
      <c r="E97" s="18"/>
      <c r="F97" s="7"/>
      <c r="G97" s="7" t="s">
        <v>124</v>
      </c>
      <c r="H97" s="167" t="s">
        <v>617</v>
      </c>
      <c r="I97" s="7" t="s">
        <v>619</v>
      </c>
      <c r="J97" s="8" t="s">
        <v>133</v>
      </c>
      <c r="K97" s="16"/>
      <c r="L97" s="10">
        <v>6</v>
      </c>
      <c r="M97" s="2"/>
      <c r="N97" s="12">
        <v>544109719</v>
      </c>
      <c r="O97" s="16"/>
      <c r="P97" s="135"/>
      <c r="Q97" s="135"/>
    </row>
    <row r="98" spans="1:17" ht="17" x14ac:dyDescent="0.2">
      <c r="A98" s="17" t="s">
        <v>49</v>
      </c>
      <c r="B98" s="16" t="s">
        <v>141</v>
      </c>
      <c r="C98" s="13" t="s">
        <v>120</v>
      </c>
      <c r="D98" s="13"/>
      <c r="E98" s="18"/>
      <c r="F98" s="7"/>
      <c r="G98" s="7" t="s">
        <v>125</v>
      </c>
      <c r="H98" s="167" t="s">
        <v>617</v>
      </c>
      <c r="I98" s="7" t="s">
        <v>619</v>
      </c>
      <c r="J98" s="8" t="s">
        <v>133</v>
      </c>
      <c r="K98" s="16"/>
      <c r="L98" s="10">
        <v>7</v>
      </c>
      <c r="M98" s="2"/>
      <c r="N98" s="12">
        <v>544122157</v>
      </c>
      <c r="O98" s="16"/>
      <c r="P98" s="135"/>
      <c r="Q98" s="135"/>
    </row>
    <row r="99" spans="1:17" ht="17" x14ac:dyDescent="0.2">
      <c r="A99" s="17" t="s">
        <v>49</v>
      </c>
      <c r="B99" s="16" t="s">
        <v>141</v>
      </c>
      <c r="C99" s="13" t="s">
        <v>121</v>
      </c>
      <c r="D99" s="13"/>
      <c r="E99" s="18"/>
      <c r="F99" s="7"/>
      <c r="G99" s="7" t="s">
        <v>126</v>
      </c>
      <c r="H99" s="167" t="s">
        <v>617</v>
      </c>
      <c r="I99" s="7" t="s">
        <v>619</v>
      </c>
      <c r="J99" s="8" t="s">
        <v>133</v>
      </c>
      <c r="K99" s="16"/>
      <c r="L99" s="10">
        <v>15</v>
      </c>
      <c r="M99" s="2"/>
      <c r="N99" s="12">
        <v>544131586</v>
      </c>
      <c r="O99" s="16"/>
      <c r="P99" s="135"/>
      <c r="Q99" s="135"/>
    </row>
    <row r="100" spans="1:17" ht="17" x14ac:dyDescent="0.2">
      <c r="A100" s="17" t="s">
        <v>49</v>
      </c>
      <c r="B100" s="16" t="s">
        <v>141</v>
      </c>
      <c r="C100" s="13" t="s">
        <v>2103</v>
      </c>
      <c r="D100" s="13"/>
      <c r="E100" s="18"/>
      <c r="F100" s="7"/>
      <c r="G100" s="7" t="s">
        <v>127</v>
      </c>
      <c r="H100" s="167" t="s">
        <v>617</v>
      </c>
      <c r="I100" s="7" t="s">
        <v>619</v>
      </c>
      <c r="J100" s="8" t="s">
        <v>134</v>
      </c>
      <c r="K100" s="16"/>
      <c r="L100" s="10">
        <v>2</v>
      </c>
      <c r="M100" s="2"/>
      <c r="N100" s="12">
        <v>544131580</v>
      </c>
      <c r="O100" s="16"/>
      <c r="P100" s="135"/>
      <c r="Q100" s="135"/>
    </row>
    <row r="101" spans="1:17" ht="17" x14ac:dyDescent="0.2">
      <c r="A101" s="17" t="s">
        <v>49</v>
      </c>
      <c r="B101" s="16" t="s">
        <v>141</v>
      </c>
      <c r="C101" s="13" t="s">
        <v>2099</v>
      </c>
      <c r="D101" s="13"/>
      <c r="E101" s="18"/>
      <c r="F101" s="7"/>
      <c r="G101" s="7" t="s">
        <v>131</v>
      </c>
      <c r="H101" s="167" t="s">
        <v>617</v>
      </c>
      <c r="I101" s="7" t="s">
        <v>619</v>
      </c>
      <c r="J101" s="8" t="s">
        <v>134</v>
      </c>
      <c r="K101" s="16"/>
      <c r="L101" s="10">
        <v>3</v>
      </c>
      <c r="M101" s="2"/>
      <c r="N101" s="12">
        <v>544131749</v>
      </c>
      <c r="O101" s="16"/>
      <c r="P101" s="135"/>
      <c r="Q101" s="135"/>
    </row>
    <row r="102" spans="1:17" ht="17" x14ac:dyDescent="0.2">
      <c r="A102" s="17" t="s">
        <v>49</v>
      </c>
      <c r="B102" s="16" t="s">
        <v>141</v>
      </c>
      <c r="C102" s="13" t="s">
        <v>2102</v>
      </c>
      <c r="D102" s="13"/>
      <c r="E102" s="18"/>
      <c r="F102" s="7"/>
      <c r="G102" s="7" t="s">
        <v>128</v>
      </c>
      <c r="H102" s="167" t="s">
        <v>617</v>
      </c>
      <c r="I102" s="7" t="s">
        <v>619</v>
      </c>
      <c r="J102" s="8" t="s">
        <v>134</v>
      </c>
      <c r="K102" s="16"/>
      <c r="L102" s="10">
        <v>4</v>
      </c>
      <c r="M102" s="2"/>
      <c r="N102" s="12">
        <v>544131755</v>
      </c>
      <c r="O102" s="16"/>
      <c r="P102" s="135"/>
      <c r="Q102" s="135"/>
    </row>
    <row r="103" spans="1:17" ht="17" x14ac:dyDescent="0.2">
      <c r="A103" s="17" t="s">
        <v>49</v>
      </c>
      <c r="B103" s="16" t="s">
        <v>141</v>
      </c>
      <c r="C103" s="13" t="s">
        <v>2101</v>
      </c>
      <c r="D103" s="13"/>
      <c r="E103" s="18"/>
      <c r="F103" s="7"/>
      <c r="G103" s="7" t="s">
        <v>129</v>
      </c>
      <c r="H103" s="167" t="s">
        <v>617</v>
      </c>
      <c r="I103" s="7" t="s">
        <v>619</v>
      </c>
      <c r="J103" s="8" t="s">
        <v>134</v>
      </c>
      <c r="K103" s="16"/>
      <c r="L103" s="10">
        <v>8</v>
      </c>
      <c r="M103" s="2"/>
      <c r="N103" s="12"/>
      <c r="O103" s="16"/>
      <c r="P103" s="135"/>
      <c r="Q103" s="135"/>
    </row>
    <row r="104" spans="1:17" ht="17" x14ac:dyDescent="0.2">
      <c r="A104" s="17" t="s">
        <v>49</v>
      </c>
      <c r="B104" s="16" t="s">
        <v>141</v>
      </c>
      <c r="C104" s="13" t="s">
        <v>2100</v>
      </c>
      <c r="D104" s="13"/>
      <c r="E104" s="18"/>
      <c r="F104" s="7"/>
      <c r="G104" s="7" t="s">
        <v>130</v>
      </c>
      <c r="H104" s="167" t="s">
        <v>617</v>
      </c>
      <c r="I104" s="7" t="s">
        <v>619</v>
      </c>
      <c r="J104" s="8" t="s">
        <v>134</v>
      </c>
      <c r="K104" s="16"/>
      <c r="L104" s="10">
        <v>9</v>
      </c>
      <c r="M104" s="2"/>
      <c r="N104" s="12"/>
      <c r="O104" s="16"/>
      <c r="P104" s="135"/>
      <c r="Q104" s="135"/>
    </row>
    <row r="105" spans="1:17" ht="17" x14ac:dyDescent="0.2">
      <c r="A105" s="17" t="s">
        <v>49</v>
      </c>
      <c r="B105" s="16" t="s">
        <v>141</v>
      </c>
      <c r="C105" s="13" t="s">
        <v>2100</v>
      </c>
      <c r="D105" s="13"/>
      <c r="E105" s="18"/>
      <c r="F105" s="7"/>
      <c r="G105" s="7" t="s">
        <v>132</v>
      </c>
      <c r="H105" s="167" t="s">
        <v>617</v>
      </c>
      <c r="I105" s="7" t="s">
        <v>619</v>
      </c>
      <c r="J105" s="8" t="s">
        <v>134</v>
      </c>
      <c r="K105" s="16"/>
      <c r="L105" s="10">
        <v>10</v>
      </c>
      <c r="M105" s="2"/>
      <c r="N105" s="12"/>
      <c r="O105" s="16"/>
      <c r="P105" s="135"/>
      <c r="Q105" s="135"/>
    </row>
    <row r="106" spans="1:17" ht="17" x14ac:dyDescent="0.2">
      <c r="A106" s="17" t="s">
        <v>49</v>
      </c>
      <c r="B106" s="16" t="s">
        <v>141</v>
      </c>
      <c r="C106" s="13" t="s">
        <v>135</v>
      </c>
      <c r="D106" s="13"/>
      <c r="E106" s="18"/>
      <c r="F106" s="7"/>
      <c r="G106" s="7" t="s">
        <v>137</v>
      </c>
      <c r="H106" s="167" t="s">
        <v>617</v>
      </c>
      <c r="I106" s="7" t="s">
        <v>619</v>
      </c>
      <c r="J106" s="8" t="s">
        <v>133</v>
      </c>
      <c r="K106" s="16"/>
      <c r="L106" s="10"/>
      <c r="M106" s="2"/>
      <c r="N106" s="12">
        <v>544120719</v>
      </c>
      <c r="O106" s="16"/>
      <c r="P106" s="135"/>
      <c r="Q106" s="135"/>
    </row>
    <row r="107" spans="1:17" ht="17" x14ac:dyDescent="0.2">
      <c r="A107" s="17" t="s">
        <v>49</v>
      </c>
      <c r="B107" s="16" t="s">
        <v>141</v>
      </c>
      <c r="C107" s="13" t="s">
        <v>136</v>
      </c>
      <c r="D107" s="13"/>
      <c r="E107" s="18"/>
      <c r="F107" s="7"/>
      <c r="G107" s="7" t="s">
        <v>138</v>
      </c>
      <c r="H107" s="167" t="s">
        <v>617</v>
      </c>
      <c r="I107" s="7" t="s">
        <v>619</v>
      </c>
      <c r="J107" s="8" t="s">
        <v>133</v>
      </c>
      <c r="K107" s="16"/>
      <c r="L107" s="10"/>
      <c r="M107" s="2"/>
      <c r="N107" s="12">
        <v>544126645</v>
      </c>
      <c r="O107" s="16"/>
      <c r="P107" s="135"/>
      <c r="Q107" s="135"/>
    </row>
    <row r="108" spans="1:17" ht="17" x14ac:dyDescent="0.2">
      <c r="A108" s="17" t="s">
        <v>49</v>
      </c>
      <c r="B108" s="16" t="s">
        <v>142</v>
      </c>
      <c r="C108" s="13" t="s">
        <v>135</v>
      </c>
      <c r="D108" s="13"/>
      <c r="E108" s="18"/>
      <c r="F108" s="7"/>
      <c r="G108" s="7" t="s">
        <v>139</v>
      </c>
      <c r="H108" s="167" t="s">
        <v>617</v>
      </c>
      <c r="I108" s="7" t="s">
        <v>619</v>
      </c>
      <c r="J108" s="8" t="s">
        <v>133</v>
      </c>
      <c r="K108" s="16"/>
      <c r="L108" s="10"/>
      <c r="M108" s="2"/>
      <c r="N108" s="12">
        <v>541621357</v>
      </c>
      <c r="O108" s="16"/>
      <c r="P108" s="135"/>
      <c r="Q108" s="135"/>
    </row>
    <row r="109" spans="1:17" ht="17" x14ac:dyDescent="0.2">
      <c r="A109" s="17" t="s">
        <v>49</v>
      </c>
      <c r="B109" s="16" t="s">
        <v>142</v>
      </c>
      <c r="C109" s="13" t="s">
        <v>136</v>
      </c>
      <c r="D109" s="13"/>
      <c r="E109" s="18"/>
      <c r="F109" s="7"/>
      <c r="G109" s="7" t="s">
        <v>140</v>
      </c>
      <c r="H109" s="167" t="s">
        <v>617</v>
      </c>
      <c r="I109" s="7" t="s">
        <v>619</v>
      </c>
      <c r="J109" s="8" t="s">
        <v>133</v>
      </c>
      <c r="K109" s="16"/>
      <c r="L109" s="10"/>
      <c r="M109" s="2"/>
      <c r="N109" s="12">
        <v>541621362</v>
      </c>
      <c r="O109" s="16"/>
      <c r="P109" s="135"/>
      <c r="Q109" s="135"/>
    </row>
    <row r="110" spans="1:17" ht="17" x14ac:dyDescent="0.2">
      <c r="A110" s="220" t="s">
        <v>49</v>
      </c>
      <c r="B110" s="16" t="s">
        <v>141</v>
      </c>
      <c r="C110" s="13" t="s">
        <v>716</v>
      </c>
      <c r="D110" s="13"/>
      <c r="E110" s="18"/>
      <c r="F110" s="7"/>
      <c r="G110" s="7" t="s">
        <v>717</v>
      </c>
      <c r="H110" s="167" t="s">
        <v>617</v>
      </c>
      <c r="I110" s="7" t="s">
        <v>620</v>
      </c>
      <c r="J110" s="8"/>
      <c r="K110" s="16"/>
      <c r="L110" s="10"/>
      <c r="M110" s="2"/>
      <c r="N110" s="12"/>
      <c r="O110" s="16"/>
      <c r="P110" s="135"/>
      <c r="Q110" s="135"/>
    </row>
    <row r="111" spans="1:17" x14ac:dyDescent="0.2">
      <c r="J111" s="8"/>
    </row>
    <row r="113" spans="1:18" ht="16.25" customHeight="1" x14ac:dyDescent="0.2">
      <c r="A113" s="142" t="s">
        <v>486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4" spans="1:18" ht="16.25" customHeight="1" x14ac:dyDescent="0.2">
      <c r="A114" s="142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</row>
    <row r="115" spans="1:18" ht="51" customHeight="1" x14ac:dyDescent="0.2">
      <c r="A115" s="28" t="s">
        <v>0</v>
      </c>
      <c r="B115" s="34" t="s">
        <v>115</v>
      </c>
      <c r="C115" s="29" t="s">
        <v>1</v>
      </c>
      <c r="D115" s="29" t="s">
        <v>320</v>
      </c>
      <c r="E115" s="30"/>
      <c r="F115" s="31" t="s">
        <v>443</v>
      </c>
      <c r="G115" s="32" t="s">
        <v>2</v>
      </c>
      <c r="H115" s="32" t="s">
        <v>614</v>
      </c>
      <c r="I115" s="32" t="s">
        <v>615</v>
      </c>
      <c r="J115" s="33" t="s">
        <v>3</v>
      </c>
      <c r="K115" s="33" t="s">
        <v>4</v>
      </c>
      <c r="L115" s="33" t="s">
        <v>5</v>
      </c>
      <c r="M115" s="30"/>
      <c r="N115" s="34" t="s">
        <v>6</v>
      </c>
      <c r="O115" s="35" t="s">
        <v>7</v>
      </c>
      <c r="P115" s="34" t="s">
        <v>8</v>
      </c>
      <c r="Q115" s="34" t="s">
        <v>111</v>
      </c>
    </row>
    <row r="116" spans="1:18" x14ac:dyDescent="0.2">
      <c r="A116" s="3"/>
      <c r="B116" s="1"/>
      <c r="C116" s="1"/>
      <c r="D116" s="1"/>
      <c r="E116" s="4"/>
      <c r="F116" s="5"/>
      <c r="G116" s="5"/>
      <c r="H116" s="5"/>
      <c r="I116" s="5"/>
      <c r="J116" s="1"/>
      <c r="K116" s="1"/>
      <c r="L116" s="1"/>
      <c r="M116" s="2"/>
      <c r="N116" s="1"/>
      <c r="O116" s="1"/>
      <c r="P116" s="1"/>
      <c r="Q116" s="1"/>
    </row>
    <row r="117" spans="1:18" ht="34" x14ac:dyDescent="0.2">
      <c r="A117" s="114" t="s">
        <v>482</v>
      </c>
      <c r="B117" s="170" t="s">
        <v>114</v>
      </c>
      <c r="C117" s="168" t="s">
        <v>613</v>
      </c>
      <c r="D117" s="170" t="s">
        <v>1817</v>
      </c>
      <c r="E117" s="115"/>
      <c r="F117" s="12" t="s">
        <v>696</v>
      </c>
      <c r="G117" s="116" t="s">
        <v>471</v>
      </c>
      <c r="H117" s="167" t="s">
        <v>617</v>
      </c>
      <c r="I117" s="116" t="s">
        <v>620</v>
      </c>
      <c r="J117" s="293" t="s">
        <v>694</v>
      </c>
      <c r="K117" s="170"/>
      <c r="L117" s="295">
        <v>1</v>
      </c>
      <c r="M117" s="115"/>
      <c r="N117" s="52" t="s">
        <v>488</v>
      </c>
      <c r="O117" s="170" t="s">
        <v>597</v>
      </c>
      <c r="P117" s="135"/>
      <c r="Q117" s="135"/>
      <c r="R117" s="260">
        <v>45362</v>
      </c>
    </row>
    <row r="118" spans="1:18" ht="34" x14ac:dyDescent="0.2">
      <c r="A118" s="114" t="s">
        <v>497</v>
      </c>
      <c r="B118" s="170" t="s">
        <v>114</v>
      </c>
      <c r="C118" s="83" t="s">
        <v>621</v>
      </c>
      <c r="D118" s="12" t="s">
        <v>1818</v>
      </c>
      <c r="E118" s="115"/>
      <c r="F118" s="12" t="s">
        <v>695</v>
      </c>
      <c r="G118" s="51" t="s">
        <v>503</v>
      </c>
      <c r="H118" s="167" t="s">
        <v>617</v>
      </c>
      <c r="I118" s="116" t="s">
        <v>620</v>
      </c>
      <c r="J118" s="293" t="s">
        <v>694</v>
      </c>
      <c r="K118" s="12"/>
      <c r="L118" s="295">
        <v>2</v>
      </c>
      <c r="M118" s="2"/>
      <c r="N118" s="170">
        <v>542082683</v>
      </c>
      <c r="O118" s="170" t="s">
        <v>597</v>
      </c>
      <c r="P118" s="135"/>
      <c r="Q118" s="135"/>
      <c r="R118" s="260">
        <v>45370</v>
      </c>
    </row>
    <row r="119" spans="1:18" ht="34" x14ac:dyDescent="0.2">
      <c r="A119" s="114" t="s">
        <v>498</v>
      </c>
      <c r="B119" s="170" t="s">
        <v>114</v>
      </c>
      <c r="C119" s="83" t="s">
        <v>602</v>
      </c>
      <c r="D119" s="12" t="s">
        <v>1821</v>
      </c>
      <c r="E119" s="115"/>
      <c r="F119" s="12" t="s">
        <v>599</v>
      </c>
      <c r="G119" s="51" t="s">
        <v>504</v>
      </c>
      <c r="H119" s="167" t="s">
        <v>617</v>
      </c>
      <c r="I119" s="116" t="s">
        <v>620</v>
      </c>
      <c r="J119" s="293" t="s">
        <v>694</v>
      </c>
      <c r="K119" s="12"/>
      <c r="L119" s="295">
        <v>20</v>
      </c>
      <c r="M119" s="2"/>
      <c r="N119" s="12">
        <v>542082679</v>
      </c>
      <c r="O119" s="170" t="s">
        <v>597</v>
      </c>
      <c r="P119" s="135"/>
      <c r="Q119" s="135"/>
      <c r="R119" s="260">
        <v>45370</v>
      </c>
    </row>
    <row r="120" spans="1:18" ht="34" x14ac:dyDescent="0.2">
      <c r="A120" s="114" t="s">
        <v>499</v>
      </c>
      <c r="B120" s="170" t="s">
        <v>114</v>
      </c>
      <c r="C120" s="83" t="s">
        <v>622</v>
      </c>
      <c r="D120" s="12" t="s">
        <v>1819</v>
      </c>
      <c r="E120" s="115"/>
      <c r="F120" s="12" t="s">
        <v>776</v>
      </c>
      <c r="G120" s="51" t="s">
        <v>505</v>
      </c>
      <c r="H120" s="167" t="s">
        <v>617</v>
      </c>
      <c r="I120" s="116" t="s">
        <v>620</v>
      </c>
      <c r="J120" s="293" t="s">
        <v>694</v>
      </c>
      <c r="K120" s="12"/>
      <c r="L120" s="295">
        <v>12</v>
      </c>
      <c r="M120" s="2"/>
      <c r="N120" s="12">
        <v>542082370</v>
      </c>
      <c r="O120" s="170" t="s">
        <v>597</v>
      </c>
      <c r="P120" s="135"/>
      <c r="Q120" s="135"/>
      <c r="R120" s="260">
        <v>45395</v>
      </c>
    </row>
    <row r="121" spans="1:18" ht="34" x14ac:dyDescent="0.2">
      <c r="A121" s="114" t="s">
        <v>500</v>
      </c>
      <c r="B121" s="257" t="s">
        <v>821</v>
      </c>
      <c r="C121" s="83" t="s">
        <v>623</v>
      </c>
      <c r="D121" s="12" t="s">
        <v>1820</v>
      </c>
      <c r="E121" s="115"/>
      <c r="F121" s="349" t="s">
        <v>1114</v>
      </c>
      <c r="G121" s="51" t="s">
        <v>506</v>
      </c>
      <c r="H121" s="167" t="s">
        <v>617</v>
      </c>
      <c r="I121" s="116" t="s">
        <v>620</v>
      </c>
      <c r="J121" s="293" t="s">
        <v>694</v>
      </c>
      <c r="K121" s="12"/>
      <c r="L121" s="295">
        <v>7</v>
      </c>
      <c r="M121" s="2"/>
      <c r="N121" s="124" t="s">
        <v>1071</v>
      </c>
      <c r="O121" s="170" t="s">
        <v>597</v>
      </c>
      <c r="P121" s="135"/>
      <c r="Q121" s="135"/>
      <c r="R121" s="260">
        <v>45450</v>
      </c>
    </row>
    <row r="122" spans="1:18" ht="34" x14ac:dyDescent="0.2">
      <c r="A122" s="114" t="s">
        <v>501</v>
      </c>
      <c r="B122" s="257" t="s">
        <v>821</v>
      </c>
      <c r="C122" s="53" t="s">
        <v>1072</v>
      </c>
      <c r="D122" s="12" t="s">
        <v>1823</v>
      </c>
      <c r="E122" s="115"/>
      <c r="F122" s="12" t="s">
        <v>1134</v>
      </c>
      <c r="G122" s="51" t="s">
        <v>507</v>
      </c>
      <c r="H122" s="167" t="s">
        <v>617</v>
      </c>
      <c r="I122" s="116" t="s">
        <v>620</v>
      </c>
      <c r="J122" s="293" t="s">
        <v>694</v>
      </c>
      <c r="K122" s="12"/>
      <c r="L122" s="295">
        <v>5</v>
      </c>
      <c r="M122" s="2"/>
      <c r="N122" s="50" t="s">
        <v>1129</v>
      </c>
      <c r="O122" s="170" t="s">
        <v>597</v>
      </c>
      <c r="P122" s="135"/>
      <c r="Q122" s="135"/>
      <c r="R122" s="260">
        <v>45456</v>
      </c>
    </row>
    <row r="123" spans="1:18" ht="34" x14ac:dyDescent="0.2">
      <c r="A123" s="114" t="s">
        <v>502</v>
      </c>
      <c r="B123" s="170" t="s">
        <v>114</v>
      </c>
      <c r="C123" s="559" t="s">
        <v>1141</v>
      </c>
      <c r="D123" s="12" t="s">
        <v>1824</v>
      </c>
      <c r="E123" s="115"/>
      <c r="F123" s="53"/>
      <c r="G123" s="51" t="s">
        <v>508</v>
      </c>
      <c r="H123" s="167" t="s">
        <v>617</v>
      </c>
      <c r="I123" s="116" t="s">
        <v>620</v>
      </c>
      <c r="J123" s="293" t="s">
        <v>694</v>
      </c>
      <c r="K123" s="12"/>
      <c r="L123" s="295">
        <v>6</v>
      </c>
      <c r="M123" s="2"/>
      <c r="N123" s="12">
        <v>542082575</v>
      </c>
      <c r="O123" s="170" t="s">
        <v>597</v>
      </c>
      <c r="P123" s="135"/>
      <c r="Q123" s="135"/>
      <c r="R123" s="260">
        <v>45456</v>
      </c>
    </row>
    <row r="124" spans="1:18" ht="34" x14ac:dyDescent="0.2">
      <c r="A124" s="114" t="s">
        <v>509</v>
      </c>
      <c r="B124" s="170" t="s">
        <v>114</v>
      </c>
      <c r="C124" s="53" t="s">
        <v>1151</v>
      </c>
      <c r="D124" s="12"/>
      <c r="E124" s="115"/>
      <c r="F124" s="12" t="s">
        <v>1228</v>
      </c>
      <c r="G124" s="51" t="s">
        <v>510</v>
      </c>
      <c r="H124" s="167" t="s">
        <v>617</v>
      </c>
      <c r="I124" s="116" t="s">
        <v>620</v>
      </c>
      <c r="J124" s="293" t="s">
        <v>694</v>
      </c>
      <c r="K124" s="12"/>
      <c r="L124" s="295">
        <v>13</v>
      </c>
      <c r="M124" s="2"/>
      <c r="N124" s="12">
        <v>542082656</v>
      </c>
      <c r="O124" s="170" t="s">
        <v>597</v>
      </c>
      <c r="P124" s="135"/>
      <c r="Q124" s="135"/>
      <c r="R124" s="260">
        <v>45456</v>
      </c>
    </row>
    <row r="125" spans="1:18" ht="34" x14ac:dyDescent="0.2">
      <c r="A125" s="114" t="s">
        <v>511</v>
      </c>
      <c r="B125" s="170" t="s">
        <v>114</v>
      </c>
      <c r="C125" s="53" t="s">
        <v>1143</v>
      </c>
      <c r="D125" s="12" t="s">
        <v>2146</v>
      </c>
      <c r="E125" s="115"/>
      <c r="F125" s="12" t="s">
        <v>1144</v>
      </c>
      <c r="G125" s="51" t="s">
        <v>512</v>
      </c>
      <c r="H125" s="167" t="s">
        <v>617</v>
      </c>
      <c r="I125" s="116" t="s">
        <v>620</v>
      </c>
      <c r="J125" s="352" t="s">
        <v>1150</v>
      </c>
      <c r="K125" s="12"/>
      <c r="L125" s="351">
        <v>1</v>
      </c>
      <c r="M125" s="2"/>
      <c r="N125" s="12">
        <v>2578</v>
      </c>
      <c r="O125" s="170" t="s">
        <v>597</v>
      </c>
      <c r="P125" s="135"/>
      <c r="Q125" s="135"/>
      <c r="R125" s="260">
        <v>45456</v>
      </c>
    </row>
    <row r="126" spans="1:18" ht="34" x14ac:dyDescent="0.2">
      <c r="A126" s="114" t="s">
        <v>483</v>
      </c>
      <c r="B126" s="170" t="s">
        <v>114</v>
      </c>
      <c r="C126" s="12" t="s">
        <v>625</v>
      </c>
      <c r="D126" s="12" t="s">
        <v>2213</v>
      </c>
      <c r="E126" s="115"/>
      <c r="F126" s="12" t="s">
        <v>938</v>
      </c>
      <c r="G126" s="51" t="s">
        <v>518</v>
      </c>
      <c r="H126" s="167" t="s">
        <v>617</v>
      </c>
      <c r="I126" s="116" t="s">
        <v>620</v>
      </c>
      <c r="J126" s="293" t="s">
        <v>694</v>
      </c>
      <c r="K126" s="12"/>
      <c r="L126" s="295">
        <v>21</v>
      </c>
      <c r="M126" s="2"/>
      <c r="N126" s="12">
        <v>542082371</v>
      </c>
      <c r="O126" s="170" t="s">
        <v>597</v>
      </c>
      <c r="P126" s="135"/>
      <c r="Q126" s="135"/>
      <c r="R126" s="260">
        <v>45370</v>
      </c>
    </row>
    <row r="127" spans="1:18" ht="34" x14ac:dyDescent="0.2">
      <c r="A127" s="114" t="s">
        <v>513</v>
      </c>
      <c r="B127" s="170" t="s">
        <v>114</v>
      </c>
      <c r="C127" s="12" t="s">
        <v>950</v>
      </c>
      <c r="D127" s="12" t="s">
        <v>1826</v>
      </c>
      <c r="E127" s="115"/>
      <c r="F127" s="12" t="s">
        <v>1227</v>
      </c>
      <c r="G127" s="51" t="s">
        <v>519</v>
      </c>
      <c r="H127" s="167" t="s">
        <v>617</v>
      </c>
      <c r="I127" s="116" t="s">
        <v>620</v>
      </c>
      <c r="J127" s="293" t="s">
        <v>694</v>
      </c>
      <c r="K127" s="12"/>
      <c r="L127" s="295">
        <v>8</v>
      </c>
      <c r="M127" s="2"/>
      <c r="N127" s="12">
        <v>542082579</v>
      </c>
      <c r="O127" s="170" t="s">
        <v>597</v>
      </c>
      <c r="P127" s="135"/>
      <c r="Q127" s="135"/>
      <c r="R127" s="260" t="s">
        <v>930</v>
      </c>
    </row>
    <row r="128" spans="1:18" ht="34" x14ac:dyDescent="0.2">
      <c r="A128" s="114" t="s">
        <v>514</v>
      </c>
      <c r="B128" s="170" t="s">
        <v>114</v>
      </c>
      <c r="C128" s="83" t="s">
        <v>823</v>
      </c>
      <c r="D128" s="12" t="s">
        <v>1827</v>
      </c>
      <c r="E128" s="115"/>
      <c r="F128" s="12">
        <v>6452</v>
      </c>
      <c r="G128" s="615" t="s">
        <v>2017</v>
      </c>
      <c r="H128" s="167" t="s">
        <v>617</v>
      </c>
      <c r="I128" s="116" t="s">
        <v>620</v>
      </c>
      <c r="J128" s="293" t="s">
        <v>694</v>
      </c>
      <c r="K128" s="12"/>
      <c r="L128" s="295">
        <v>9</v>
      </c>
      <c r="M128" s="2"/>
      <c r="N128" s="12">
        <v>542086826</v>
      </c>
      <c r="O128" s="12" t="s">
        <v>597</v>
      </c>
      <c r="P128" s="616" t="s">
        <v>2020</v>
      </c>
      <c r="Q128" s="135"/>
      <c r="R128" s="126"/>
    </row>
    <row r="129" spans="1:18" ht="34" x14ac:dyDescent="0.2">
      <c r="A129" s="607" t="s">
        <v>514</v>
      </c>
      <c r="B129" s="608" t="s">
        <v>114</v>
      </c>
      <c r="C129" s="609" t="s">
        <v>823</v>
      </c>
      <c r="D129" s="606" t="s">
        <v>1827</v>
      </c>
      <c r="E129" s="610"/>
      <c r="F129" s="606" t="s">
        <v>1226</v>
      </c>
      <c r="G129" s="611" t="s">
        <v>520</v>
      </c>
      <c r="H129" s="612" t="s">
        <v>617</v>
      </c>
      <c r="I129" s="610" t="s">
        <v>620</v>
      </c>
      <c r="J129" s="613" t="s">
        <v>694</v>
      </c>
      <c r="K129" s="606"/>
      <c r="L129" s="605">
        <v>9</v>
      </c>
      <c r="M129" s="614"/>
      <c r="N129" s="606">
        <v>542082577</v>
      </c>
      <c r="O129" s="606" t="s">
        <v>597</v>
      </c>
      <c r="P129" s="611" t="s">
        <v>2022</v>
      </c>
      <c r="Q129" s="606"/>
      <c r="R129" s="260"/>
    </row>
    <row r="130" spans="1:18" ht="47.5" customHeight="1" x14ac:dyDescent="0.2">
      <c r="A130" s="607" t="s">
        <v>514</v>
      </c>
      <c r="B130" s="608" t="s">
        <v>114</v>
      </c>
      <c r="C130" s="609" t="s">
        <v>823</v>
      </c>
      <c r="D130" s="606" t="s">
        <v>1827</v>
      </c>
      <c r="E130" s="610"/>
      <c r="F130" s="606">
        <v>6452</v>
      </c>
      <c r="G130" s="611" t="s">
        <v>2007</v>
      </c>
      <c r="H130" s="612" t="s">
        <v>617</v>
      </c>
      <c r="I130" s="610" t="s">
        <v>620</v>
      </c>
      <c r="J130" s="613" t="s">
        <v>694</v>
      </c>
      <c r="K130" s="606"/>
      <c r="L130" s="605">
        <v>9</v>
      </c>
      <c r="M130" s="614"/>
      <c r="N130" s="606">
        <v>542073938</v>
      </c>
      <c r="O130" s="606" t="s">
        <v>597</v>
      </c>
      <c r="P130" s="606" t="s">
        <v>2021</v>
      </c>
      <c r="Q130" s="606"/>
      <c r="R130" s="260"/>
    </row>
    <row r="131" spans="1:18" ht="34" x14ac:dyDescent="0.2">
      <c r="A131" s="114" t="s">
        <v>515</v>
      </c>
      <c r="B131" s="170" t="s">
        <v>114</v>
      </c>
      <c r="C131" s="83" t="s">
        <v>1113</v>
      </c>
      <c r="D131" s="53"/>
      <c r="E131" s="115"/>
      <c r="F131" s="12"/>
      <c r="G131" s="51" t="s">
        <v>521</v>
      </c>
      <c r="H131" s="167" t="s">
        <v>617</v>
      </c>
      <c r="I131" s="116" t="s">
        <v>620</v>
      </c>
      <c r="J131" s="293" t="s">
        <v>694</v>
      </c>
      <c r="K131" s="12"/>
      <c r="L131" s="295">
        <v>10</v>
      </c>
      <c r="M131" s="2"/>
      <c r="N131" s="12">
        <v>542082581</v>
      </c>
      <c r="O131" s="12" t="s">
        <v>597</v>
      </c>
      <c r="P131" s="135"/>
      <c r="Q131" s="135"/>
    </row>
    <row r="132" spans="1:18" ht="34" x14ac:dyDescent="0.2">
      <c r="A132" s="114" t="s">
        <v>516</v>
      </c>
      <c r="B132" s="170" t="s">
        <v>114</v>
      </c>
      <c r="C132" s="83" t="s">
        <v>1073</v>
      </c>
      <c r="D132" s="12" t="s">
        <v>2150</v>
      </c>
      <c r="E132" s="115"/>
      <c r="F132" s="12" t="s">
        <v>1222</v>
      </c>
      <c r="G132" s="51" t="s">
        <v>522</v>
      </c>
      <c r="H132" s="167" t="s">
        <v>617</v>
      </c>
      <c r="I132" s="116" t="s">
        <v>620</v>
      </c>
      <c r="J132" s="294" t="s">
        <v>777</v>
      </c>
      <c r="K132" s="12"/>
      <c r="L132" s="122">
        <v>8</v>
      </c>
      <c r="M132" s="2"/>
      <c r="N132" s="12">
        <v>542082658</v>
      </c>
      <c r="O132" s="12" t="s">
        <v>597</v>
      </c>
      <c r="P132" s="135"/>
      <c r="Q132" s="135"/>
      <c r="R132" s="260">
        <v>45450</v>
      </c>
    </row>
    <row r="133" spans="1:18" ht="34" x14ac:dyDescent="0.2">
      <c r="A133" s="114" t="s">
        <v>1828</v>
      </c>
      <c r="B133" s="170" t="s">
        <v>114</v>
      </c>
      <c r="C133" s="83" t="s">
        <v>1555</v>
      </c>
      <c r="D133" s="12" t="s">
        <v>1831</v>
      </c>
      <c r="E133" s="115"/>
      <c r="F133" s="12" t="s">
        <v>1613</v>
      </c>
      <c r="G133" s="51" t="s">
        <v>523</v>
      </c>
      <c r="H133" s="167" t="s">
        <v>617</v>
      </c>
      <c r="I133" s="116" t="s">
        <v>620</v>
      </c>
      <c r="J133" s="445" t="s">
        <v>1591</v>
      </c>
      <c r="K133" s="12"/>
      <c r="L133" s="446">
        <v>4</v>
      </c>
      <c r="M133" s="2"/>
      <c r="N133" s="12">
        <v>542082576</v>
      </c>
      <c r="O133" s="12" t="s">
        <v>597</v>
      </c>
      <c r="P133" s="135"/>
      <c r="Q133" s="135"/>
    </row>
    <row r="134" spans="1:18" ht="34" x14ac:dyDescent="0.2">
      <c r="A134" s="114" t="s">
        <v>517</v>
      </c>
      <c r="B134" s="12" t="s">
        <v>114</v>
      </c>
      <c r="C134" s="53" t="s">
        <v>1067</v>
      </c>
      <c r="D134" s="12" t="s">
        <v>1822</v>
      </c>
      <c r="E134" s="115"/>
      <c r="F134" s="12" t="s">
        <v>1221</v>
      </c>
      <c r="G134" s="51" t="s">
        <v>524</v>
      </c>
      <c r="H134" s="167" t="s">
        <v>617</v>
      </c>
      <c r="I134" s="116" t="s">
        <v>620</v>
      </c>
      <c r="J134" s="294" t="s">
        <v>777</v>
      </c>
      <c r="K134" s="170"/>
      <c r="L134" s="122">
        <v>1</v>
      </c>
      <c r="M134" s="2"/>
      <c r="N134" s="12">
        <v>542082660</v>
      </c>
      <c r="O134" s="12" t="s">
        <v>597</v>
      </c>
      <c r="P134" s="135"/>
      <c r="Q134" s="135"/>
      <c r="R134" s="348">
        <v>45451</v>
      </c>
    </row>
    <row r="135" spans="1:18" ht="34" x14ac:dyDescent="0.2">
      <c r="A135" s="114" t="s">
        <v>1829</v>
      </c>
      <c r="B135" s="12" t="s">
        <v>114</v>
      </c>
      <c r="C135" s="83" t="s">
        <v>1556</v>
      </c>
      <c r="D135" s="12" t="s">
        <v>1832</v>
      </c>
      <c r="E135" s="115"/>
      <c r="F135" s="12" t="s">
        <v>1614</v>
      </c>
      <c r="G135" s="51" t="s">
        <v>525</v>
      </c>
      <c r="H135" s="167" t="s">
        <v>617</v>
      </c>
      <c r="I135" s="116" t="s">
        <v>620</v>
      </c>
      <c r="J135" s="445" t="s">
        <v>1591</v>
      </c>
      <c r="K135" s="170"/>
      <c r="L135" s="446">
        <v>5</v>
      </c>
      <c r="M135" s="2"/>
      <c r="N135" s="12">
        <v>542082182</v>
      </c>
      <c r="O135" s="12" t="s">
        <v>597</v>
      </c>
      <c r="P135" s="135"/>
      <c r="Q135" s="135"/>
    </row>
    <row r="136" spans="1:18" ht="34" x14ac:dyDescent="0.2">
      <c r="A136" s="114" t="s">
        <v>1834</v>
      </c>
      <c r="B136" s="12" t="s">
        <v>114</v>
      </c>
      <c r="C136" s="83" t="s">
        <v>1833</v>
      </c>
      <c r="D136" s="12" t="s">
        <v>2145</v>
      </c>
      <c r="E136" s="115"/>
      <c r="F136" s="169"/>
      <c r="G136" s="172" t="s">
        <v>526</v>
      </c>
      <c r="H136" s="282" t="s">
        <v>617</v>
      </c>
      <c r="I136" s="116" t="s">
        <v>620</v>
      </c>
      <c r="J136" s="294" t="s">
        <v>777</v>
      </c>
      <c r="K136" s="170"/>
      <c r="L136" s="283">
        <v>2</v>
      </c>
      <c r="M136" s="2"/>
      <c r="N136" s="170">
        <v>542082677</v>
      </c>
      <c r="O136" s="12" t="s">
        <v>597</v>
      </c>
      <c r="P136" s="284"/>
      <c r="Q136" s="284"/>
    </row>
    <row r="137" spans="1:18" ht="34" x14ac:dyDescent="0.2">
      <c r="A137" s="114" t="s">
        <v>1830</v>
      </c>
      <c r="B137" s="12" t="s">
        <v>114</v>
      </c>
      <c r="C137" s="83" t="s">
        <v>1557</v>
      </c>
      <c r="D137" s="12" t="s">
        <v>1835</v>
      </c>
      <c r="E137" s="2"/>
      <c r="F137" s="53"/>
      <c r="G137" s="51" t="s">
        <v>542</v>
      </c>
      <c r="H137" s="167" t="s">
        <v>617</v>
      </c>
      <c r="I137" s="7" t="s">
        <v>620</v>
      </c>
      <c r="J137" s="445" t="s">
        <v>1591</v>
      </c>
      <c r="K137" s="12"/>
      <c r="L137" s="446">
        <v>3</v>
      </c>
      <c r="M137" s="2"/>
      <c r="N137" s="12">
        <v>542082602</v>
      </c>
      <c r="O137" s="12" t="s">
        <v>597</v>
      </c>
      <c r="P137" s="135"/>
      <c r="Q137" s="135"/>
    </row>
    <row r="138" spans="1:18" ht="34" x14ac:dyDescent="0.2">
      <c r="A138" s="114" t="s">
        <v>1650</v>
      </c>
      <c r="B138" s="12" t="s">
        <v>114</v>
      </c>
      <c r="C138" s="53" t="s">
        <v>1619</v>
      </c>
      <c r="D138" s="12" t="s">
        <v>1841</v>
      </c>
      <c r="E138" s="2"/>
      <c r="F138" s="53"/>
      <c r="G138" s="51" t="s">
        <v>484</v>
      </c>
      <c r="H138" s="167" t="s">
        <v>617</v>
      </c>
      <c r="I138" s="7" t="s">
        <v>620</v>
      </c>
      <c r="J138" s="294" t="s">
        <v>777</v>
      </c>
      <c r="K138" s="12"/>
      <c r="L138" s="173"/>
      <c r="M138" s="2"/>
      <c r="N138" s="12">
        <v>542082673</v>
      </c>
      <c r="O138" s="12" t="s">
        <v>597</v>
      </c>
      <c r="P138" s="135"/>
      <c r="Q138" s="135"/>
    </row>
    <row r="139" spans="1:18" ht="34" x14ac:dyDescent="0.2">
      <c r="A139" s="114" t="s">
        <v>1839</v>
      </c>
      <c r="B139" s="12" t="s">
        <v>114</v>
      </c>
      <c r="C139" s="281" t="s">
        <v>816</v>
      </c>
      <c r="D139" s="12" t="s">
        <v>1838</v>
      </c>
      <c r="E139" s="2"/>
      <c r="F139" s="53"/>
      <c r="G139" s="51" t="s">
        <v>543</v>
      </c>
      <c r="H139" s="167" t="s">
        <v>617</v>
      </c>
      <c r="I139" s="7" t="s">
        <v>620</v>
      </c>
      <c r="J139" s="445" t="s">
        <v>1591</v>
      </c>
      <c r="K139" s="12"/>
      <c r="L139" s="446">
        <v>11</v>
      </c>
      <c r="M139" s="2"/>
      <c r="N139" s="12">
        <v>542082574</v>
      </c>
      <c r="O139" s="12" t="s">
        <v>597</v>
      </c>
      <c r="P139" s="135"/>
      <c r="Q139" s="135"/>
    </row>
    <row r="140" spans="1:18" ht="17" x14ac:dyDescent="0.2">
      <c r="A140" s="114" t="s">
        <v>1622</v>
      </c>
      <c r="B140" s="12" t="s">
        <v>1623</v>
      </c>
      <c r="C140" s="281"/>
      <c r="D140" s="122"/>
      <c r="E140" s="2"/>
      <c r="F140" s="53"/>
      <c r="G140" s="51"/>
      <c r="H140" s="167"/>
      <c r="I140" s="7"/>
      <c r="J140" s="445"/>
      <c r="K140" s="12"/>
      <c r="L140" s="446"/>
      <c r="M140" s="2"/>
      <c r="N140" s="12">
        <v>865904143</v>
      </c>
      <c r="O140" s="12"/>
      <c r="P140" s="135"/>
      <c r="Q140" s="135"/>
    </row>
    <row r="141" spans="1:18" ht="31.25" customHeight="1" x14ac:dyDescent="0.2">
      <c r="A141" s="114" t="s">
        <v>1840</v>
      </c>
      <c r="B141" s="12" t="s">
        <v>114</v>
      </c>
      <c r="C141" s="53"/>
      <c r="D141" s="12" t="s">
        <v>1842</v>
      </c>
      <c r="E141" s="2"/>
      <c r="F141" s="53"/>
      <c r="G141" s="51" t="s">
        <v>544</v>
      </c>
      <c r="H141" s="167" t="s">
        <v>617</v>
      </c>
      <c r="I141" s="7" t="s">
        <v>620</v>
      </c>
      <c r="J141" s="294" t="s">
        <v>777</v>
      </c>
      <c r="K141" s="12"/>
      <c r="L141" s="173">
        <v>4</v>
      </c>
      <c r="M141" s="2"/>
      <c r="N141" s="12">
        <v>542082572</v>
      </c>
      <c r="O141" s="12" t="s">
        <v>597</v>
      </c>
      <c r="P141" s="135"/>
      <c r="Q141" s="135"/>
    </row>
    <row r="142" spans="1:18" ht="27.5" customHeight="1" x14ac:dyDescent="0.2">
      <c r="A142" s="114" t="s">
        <v>545</v>
      </c>
      <c r="B142" s="12" t="s">
        <v>114</v>
      </c>
      <c r="C142" s="285" t="s">
        <v>1560</v>
      </c>
      <c r="D142" s="12"/>
      <c r="E142" s="2"/>
      <c r="F142" s="53"/>
      <c r="G142" s="51" t="s">
        <v>546</v>
      </c>
      <c r="H142" s="167" t="s">
        <v>617</v>
      </c>
      <c r="I142" s="7" t="s">
        <v>620</v>
      </c>
      <c r="J142" s="445" t="s">
        <v>1591</v>
      </c>
      <c r="K142" s="12"/>
      <c r="L142" s="446">
        <v>10</v>
      </c>
      <c r="M142" s="2"/>
      <c r="N142" s="12">
        <v>542082569</v>
      </c>
      <c r="O142" s="12" t="s">
        <v>597</v>
      </c>
      <c r="P142" s="135"/>
      <c r="Q142" s="135"/>
    </row>
    <row r="143" spans="1:18" ht="17" x14ac:dyDescent="0.2">
      <c r="A143" s="114" t="s">
        <v>1622</v>
      </c>
      <c r="B143" s="12" t="s">
        <v>1623</v>
      </c>
      <c r="C143" s="281"/>
      <c r="D143" s="122"/>
      <c r="E143" s="2"/>
      <c r="F143" s="53"/>
      <c r="G143" s="51"/>
      <c r="H143" s="167"/>
      <c r="I143" s="7"/>
      <c r="J143" s="445"/>
      <c r="K143" s="12"/>
      <c r="L143" s="446"/>
      <c r="M143" s="2"/>
      <c r="N143" s="12"/>
      <c r="O143" s="12"/>
      <c r="P143" s="135"/>
      <c r="Q143" s="135"/>
    </row>
    <row r="144" spans="1:18" ht="34" x14ac:dyDescent="0.2">
      <c r="A144" s="114" t="s">
        <v>1243</v>
      </c>
      <c r="B144" s="12" t="s">
        <v>114</v>
      </c>
      <c r="C144" s="53" t="s">
        <v>1234</v>
      </c>
      <c r="D144" s="12" t="s">
        <v>1836</v>
      </c>
      <c r="E144" s="2"/>
      <c r="F144" s="52" t="s">
        <v>1229</v>
      </c>
      <c r="G144" s="51" t="s">
        <v>547</v>
      </c>
      <c r="H144" s="167" t="s">
        <v>617</v>
      </c>
      <c r="I144" s="7" t="s">
        <v>620</v>
      </c>
      <c r="J144" s="294" t="s">
        <v>777</v>
      </c>
      <c r="K144" s="12"/>
      <c r="L144" s="122">
        <v>5</v>
      </c>
      <c r="M144" s="2"/>
      <c r="N144" s="12">
        <v>542082659</v>
      </c>
      <c r="O144" s="12" t="s">
        <v>597</v>
      </c>
      <c r="P144" s="135"/>
      <c r="Q144" s="135"/>
      <c r="R144" s="348">
        <v>45451</v>
      </c>
    </row>
    <row r="145" spans="1:18" ht="39.5" customHeight="1" x14ac:dyDescent="0.2">
      <c r="A145" s="114" t="s">
        <v>1844</v>
      </c>
      <c r="B145" s="12" t="s">
        <v>114</v>
      </c>
      <c r="C145" s="53" t="s">
        <v>815</v>
      </c>
      <c r="D145" s="12" t="s">
        <v>1843</v>
      </c>
      <c r="E145" s="2"/>
      <c r="F145" s="53"/>
      <c r="G145" s="51" t="s">
        <v>548</v>
      </c>
      <c r="H145" s="167" t="s">
        <v>617</v>
      </c>
      <c r="I145" s="7" t="s">
        <v>620</v>
      </c>
      <c r="J145" s="445" t="s">
        <v>1591</v>
      </c>
      <c r="K145" s="12"/>
      <c r="L145" s="173"/>
      <c r="M145" s="2"/>
      <c r="N145" s="12">
        <v>542082573</v>
      </c>
      <c r="O145" s="12" t="s">
        <v>597</v>
      </c>
      <c r="P145" s="135"/>
      <c r="Q145" s="135"/>
    </row>
    <row r="146" spans="1:18" ht="34" x14ac:dyDescent="0.2">
      <c r="A146" s="114" t="s">
        <v>1242</v>
      </c>
      <c r="B146" s="12" t="s">
        <v>114</v>
      </c>
      <c r="C146" s="132" t="s">
        <v>1230</v>
      </c>
      <c r="D146" s="12" t="s">
        <v>1837</v>
      </c>
      <c r="E146" s="2"/>
      <c r="F146" s="12" t="s">
        <v>1235</v>
      </c>
      <c r="G146" s="51" t="s">
        <v>549</v>
      </c>
      <c r="H146" s="51" t="s">
        <v>617</v>
      </c>
      <c r="I146" s="51" t="s">
        <v>620</v>
      </c>
      <c r="J146" s="122" t="s">
        <v>777</v>
      </c>
      <c r="K146" s="12"/>
      <c r="L146" s="12">
        <v>6</v>
      </c>
      <c r="M146" s="2"/>
      <c r="N146" s="12">
        <v>542082736</v>
      </c>
      <c r="O146" s="12" t="s">
        <v>597</v>
      </c>
      <c r="P146" s="135"/>
      <c r="Q146" s="135"/>
      <c r="R146" s="148" t="s">
        <v>1219</v>
      </c>
    </row>
    <row r="147" spans="1:18" ht="34" x14ac:dyDescent="0.2">
      <c r="A147" s="114" t="s">
        <v>1241</v>
      </c>
      <c r="B147" s="257" t="s">
        <v>821</v>
      </c>
      <c r="C147" s="132" t="s">
        <v>1220</v>
      </c>
      <c r="D147" s="12" t="s">
        <v>2144</v>
      </c>
      <c r="E147" s="2"/>
      <c r="F147" s="12" t="s">
        <v>1232</v>
      </c>
      <c r="G147" s="51" t="s">
        <v>550</v>
      </c>
      <c r="H147" s="51" t="s">
        <v>617</v>
      </c>
      <c r="I147" s="51" t="s">
        <v>620</v>
      </c>
      <c r="J147" s="122" t="s">
        <v>777</v>
      </c>
      <c r="K147" s="12"/>
      <c r="L147" s="12">
        <v>7</v>
      </c>
      <c r="M147" s="2"/>
      <c r="N147" s="50" t="s">
        <v>1233</v>
      </c>
      <c r="O147" s="12" t="s">
        <v>597</v>
      </c>
      <c r="P147" s="135"/>
      <c r="Q147" s="135"/>
      <c r="R147" s="148" t="s">
        <v>1219</v>
      </c>
    </row>
    <row r="148" spans="1:18" ht="34" x14ac:dyDescent="0.2">
      <c r="A148" s="114" t="s">
        <v>551</v>
      </c>
      <c r="B148" s="12" t="s">
        <v>114</v>
      </c>
      <c r="C148" s="53" t="s">
        <v>1231</v>
      </c>
      <c r="D148" s="12"/>
      <c r="E148" s="2"/>
      <c r="F148" s="53"/>
      <c r="G148" s="51" t="s">
        <v>552</v>
      </c>
      <c r="H148" s="167" t="s">
        <v>617</v>
      </c>
      <c r="I148" s="7" t="s">
        <v>620</v>
      </c>
      <c r="J148" s="294" t="s">
        <v>777</v>
      </c>
      <c r="K148" s="12"/>
      <c r="L148" s="173">
        <v>18</v>
      </c>
      <c r="M148" s="2"/>
      <c r="N148" s="12">
        <v>542082672</v>
      </c>
      <c r="O148" s="12" t="s">
        <v>597</v>
      </c>
      <c r="P148" s="135"/>
      <c r="Q148" s="135"/>
      <c r="R148" s="148" t="s">
        <v>1751</v>
      </c>
    </row>
    <row r="149" spans="1:18" ht="34" x14ac:dyDescent="0.2">
      <c r="A149" s="114" t="s">
        <v>1240</v>
      </c>
      <c r="B149" s="170" t="s">
        <v>114</v>
      </c>
      <c r="C149" s="53" t="s">
        <v>1245</v>
      </c>
      <c r="D149" s="12"/>
      <c r="E149" s="2"/>
      <c r="F149" s="12" t="s">
        <v>1244</v>
      </c>
      <c r="G149" s="51" t="s">
        <v>553</v>
      </c>
      <c r="H149" s="167" t="s">
        <v>617</v>
      </c>
      <c r="I149" s="7" t="s">
        <v>620</v>
      </c>
      <c r="J149" s="294" t="s">
        <v>777</v>
      </c>
      <c r="K149" s="12"/>
      <c r="L149" s="173">
        <v>9</v>
      </c>
      <c r="M149" s="2"/>
      <c r="N149" s="12">
        <v>542082655</v>
      </c>
      <c r="O149" s="12" t="s">
        <v>597</v>
      </c>
      <c r="P149" s="135"/>
      <c r="Q149" s="135"/>
      <c r="R149" s="148" t="s">
        <v>1219</v>
      </c>
    </row>
    <row r="150" spans="1:18" ht="34" x14ac:dyDescent="0.2">
      <c r="A150" s="114" t="s">
        <v>740</v>
      </c>
      <c r="B150" s="170" t="s">
        <v>114</v>
      </c>
      <c r="C150" s="132" t="s">
        <v>769</v>
      </c>
      <c r="D150" s="12" t="s">
        <v>740</v>
      </c>
      <c r="E150" s="115"/>
      <c r="F150" s="12" t="s">
        <v>776</v>
      </c>
      <c r="G150" s="51" t="s">
        <v>554</v>
      </c>
      <c r="H150" s="167" t="s">
        <v>617</v>
      </c>
      <c r="I150" s="116" t="s">
        <v>620</v>
      </c>
      <c r="J150" s="294" t="s">
        <v>777</v>
      </c>
      <c r="K150" s="12"/>
      <c r="L150" s="340">
        <v>21</v>
      </c>
      <c r="M150" s="2"/>
      <c r="N150" s="12">
        <v>542062367</v>
      </c>
      <c r="O150" s="12" t="s">
        <v>597</v>
      </c>
      <c r="P150" s="135"/>
      <c r="Q150" s="135"/>
      <c r="R150" s="260">
        <v>45395</v>
      </c>
    </row>
    <row r="151" spans="1:18" ht="34" x14ac:dyDescent="0.2">
      <c r="A151" s="114" t="s">
        <v>741</v>
      </c>
      <c r="B151" s="12" t="s">
        <v>114</v>
      </c>
      <c r="C151" s="53" t="s">
        <v>739</v>
      </c>
      <c r="D151" s="50" t="s">
        <v>2148</v>
      </c>
      <c r="E151" s="2"/>
      <c r="F151" s="53"/>
      <c r="G151" s="51" t="s">
        <v>555</v>
      </c>
      <c r="H151" s="167" t="s">
        <v>617</v>
      </c>
      <c r="I151" s="7" t="s">
        <v>620</v>
      </c>
      <c r="J151" s="433" t="s">
        <v>1426</v>
      </c>
      <c r="K151" s="226"/>
      <c r="L151" s="173">
        <v>13</v>
      </c>
      <c r="M151" s="2"/>
      <c r="N151" s="12">
        <v>542082580</v>
      </c>
      <c r="O151" s="12"/>
      <c r="P151" s="135"/>
      <c r="Q151" s="135"/>
    </row>
    <row r="152" spans="1:18" ht="17" x14ac:dyDescent="0.2">
      <c r="A152" s="114" t="s">
        <v>742</v>
      </c>
      <c r="B152" s="12" t="s">
        <v>114</v>
      </c>
      <c r="C152" s="83" t="s">
        <v>728</v>
      </c>
      <c r="D152" s="12" t="s">
        <v>1405</v>
      </c>
      <c r="E152" s="2"/>
      <c r="F152" s="12" t="s">
        <v>1488</v>
      </c>
      <c r="G152" s="51" t="s">
        <v>556</v>
      </c>
      <c r="H152" s="167" t="s">
        <v>617</v>
      </c>
      <c r="I152" s="7" t="s">
        <v>620</v>
      </c>
      <c r="J152" s="433" t="s">
        <v>1426</v>
      </c>
      <c r="K152" s="226"/>
      <c r="L152" s="173">
        <v>20</v>
      </c>
      <c r="M152" s="2"/>
      <c r="N152" s="12">
        <v>542082369</v>
      </c>
      <c r="O152" s="12" t="s">
        <v>597</v>
      </c>
      <c r="P152" s="135"/>
      <c r="Q152" s="135"/>
    </row>
    <row r="153" spans="1:18" ht="50.5" customHeight="1" x14ac:dyDescent="0.2">
      <c r="A153" s="114" t="s">
        <v>1404</v>
      </c>
      <c r="B153" s="131" t="s">
        <v>114</v>
      </c>
      <c r="C153" s="53" t="s">
        <v>1403</v>
      </c>
      <c r="D153" s="50" t="s">
        <v>2153</v>
      </c>
      <c r="E153" s="2"/>
      <c r="F153" s="53"/>
      <c r="G153" s="51" t="s">
        <v>557</v>
      </c>
      <c r="H153" s="167" t="s">
        <v>617</v>
      </c>
      <c r="I153" s="7" t="s">
        <v>620</v>
      </c>
      <c r="J153" s="433" t="s">
        <v>1426</v>
      </c>
      <c r="K153" s="12"/>
      <c r="L153" s="173">
        <v>21</v>
      </c>
      <c r="M153" s="2"/>
      <c r="N153" s="12">
        <v>542082741</v>
      </c>
      <c r="O153" s="12" t="s">
        <v>597</v>
      </c>
      <c r="P153" s="135"/>
      <c r="Q153" s="135"/>
    </row>
    <row r="154" spans="1:18" ht="36" customHeight="1" x14ac:dyDescent="0.2">
      <c r="A154" s="424" t="s">
        <v>1406</v>
      </c>
      <c r="B154" s="12" t="s">
        <v>114</v>
      </c>
      <c r="C154" s="125" t="s">
        <v>1424</v>
      </c>
      <c r="D154" s="12" t="s">
        <v>1423</v>
      </c>
      <c r="E154" s="2"/>
      <c r="F154" s="12" t="s">
        <v>1427</v>
      </c>
      <c r="G154" s="51" t="s">
        <v>558</v>
      </c>
      <c r="H154" s="167" t="s">
        <v>617</v>
      </c>
      <c r="I154" s="7" t="s">
        <v>620</v>
      </c>
      <c r="J154" s="294" t="s">
        <v>1426</v>
      </c>
      <c r="K154" s="12"/>
      <c r="L154" s="173">
        <v>23</v>
      </c>
      <c r="M154" s="2"/>
      <c r="N154" s="12">
        <v>542082180</v>
      </c>
      <c r="O154" s="12" t="s">
        <v>597</v>
      </c>
      <c r="P154" s="135"/>
      <c r="Q154" s="135"/>
      <c r="R154" s="425" t="s">
        <v>1422</v>
      </c>
    </row>
    <row r="155" spans="1:18" ht="35.5" customHeight="1" x14ac:dyDescent="0.2">
      <c r="A155" s="424" t="s">
        <v>1645</v>
      </c>
      <c r="B155" s="12" t="s">
        <v>114</v>
      </c>
      <c r="C155" s="53" t="s">
        <v>1624</v>
      </c>
      <c r="D155" s="12" t="s">
        <v>1416</v>
      </c>
      <c r="E155" s="2"/>
      <c r="F155" s="53"/>
      <c r="G155" s="51" t="s">
        <v>559</v>
      </c>
      <c r="H155" s="167" t="s">
        <v>617</v>
      </c>
      <c r="I155" s="7" t="s">
        <v>620</v>
      </c>
      <c r="J155" s="51" t="s">
        <v>1631</v>
      </c>
      <c r="K155" s="12" t="s">
        <v>560</v>
      </c>
      <c r="L155" s="173"/>
      <c r="M155" s="2"/>
      <c r="N155" s="12">
        <v>542082676</v>
      </c>
      <c r="O155" s="12" t="s">
        <v>597</v>
      </c>
      <c r="P155" s="135"/>
      <c r="Q155" s="135"/>
    </row>
    <row r="156" spans="1:18" x14ac:dyDescent="0.2">
      <c r="A156" s="424" t="s">
        <v>561</v>
      </c>
      <c r="B156" s="12" t="s">
        <v>114</v>
      </c>
      <c r="C156" s="53" t="s">
        <v>1552</v>
      </c>
      <c r="D156" s="12" t="s">
        <v>1416</v>
      </c>
      <c r="E156" s="2"/>
      <c r="F156" s="53"/>
      <c r="G156" s="51" t="s">
        <v>562</v>
      </c>
      <c r="H156" s="167" t="s">
        <v>617</v>
      </c>
      <c r="I156" s="7" t="s">
        <v>620</v>
      </c>
      <c r="J156" s="51" t="s">
        <v>541</v>
      </c>
      <c r="K156" s="12" t="s">
        <v>563</v>
      </c>
      <c r="L156" s="173"/>
      <c r="M156" s="2"/>
      <c r="N156" s="12"/>
      <c r="O156" s="12"/>
      <c r="P156" s="135"/>
      <c r="Q156" s="135"/>
    </row>
    <row r="157" spans="1:18" ht="34" x14ac:dyDescent="0.2">
      <c r="A157" s="424" t="s">
        <v>1644</v>
      </c>
      <c r="B157" s="12" t="s">
        <v>114</v>
      </c>
      <c r="C157" s="83" t="s">
        <v>1152</v>
      </c>
      <c r="D157" s="12"/>
      <c r="E157" s="2"/>
      <c r="F157" s="53"/>
      <c r="G157" s="51" t="s">
        <v>564</v>
      </c>
      <c r="H157" s="167" t="s">
        <v>617</v>
      </c>
      <c r="I157" s="7" t="s">
        <v>620</v>
      </c>
      <c r="J157" s="294" t="s">
        <v>928</v>
      </c>
      <c r="K157" s="12"/>
      <c r="L157" s="173">
        <v>1</v>
      </c>
      <c r="M157" s="2"/>
      <c r="N157" s="12">
        <v>542082671</v>
      </c>
      <c r="O157" s="12" t="s">
        <v>597</v>
      </c>
      <c r="P157" s="135"/>
      <c r="Q157" s="135"/>
    </row>
    <row r="158" spans="1:18" ht="34" x14ac:dyDescent="0.2">
      <c r="A158" s="114" t="s">
        <v>888</v>
      </c>
      <c r="B158" s="257" t="s">
        <v>821</v>
      </c>
      <c r="C158" s="83" t="s">
        <v>880</v>
      </c>
      <c r="D158" s="12"/>
      <c r="E158" s="2"/>
      <c r="F158" s="12" t="s">
        <v>943</v>
      </c>
      <c r="G158" s="51" t="s">
        <v>565</v>
      </c>
      <c r="H158" s="167" t="s">
        <v>617</v>
      </c>
      <c r="I158" s="7" t="s">
        <v>620</v>
      </c>
      <c r="J158" s="294" t="s">
        <v>928</v>
      </c>
      <c r="K158" s="12"/>
      <c r="L158" s="173">
        <v>8</v>
      </c>
      <c r="M158" s="2"/>
      <c r="N158" s="50" t="s">
        <v>887</v>
      </c>
      <c r="O158" s="12" t="s">
        <v>597</v>
      </c>
      <c r="P158" s="135"/>
      <c r="Q158" s="135"/>
      <c r="R158" s="260" t="s">
        <v>930</v>
      </c>
    </row>
    <row r="159" spans="1:18" ht="34" x14ac:dyDescent="0.2">
      <c r="A159" s="114" t="s">
        <v>874</v>
      </c>
      <c r="B159" s="12" t="s">
        <v>114</v>
      </c>
      <c r="C159" s="83" t="s">
        <v>900</v>
      </c>
      <c r="E159" s="2"/>
      <c r="F159" s="12" t="s">
        <v>934</v>
      </c>
      <c r="G159" s="51" t="s">
        <v>566</v>
      </c>
      <c r="H159" s="167" t="s">
        <v>617</v>
      </c>
      <c r="I159" s="7" t="s">
        <v>620</v>
      </c>
      <c r="J159" s="294" t="s">
        <v>928</v>
      </c>
      <c r="K159" s="12"/>
      <c r="L159" s="173">
        <v>6</v>
      </c>
      <c r="M159" s="2"/>
      <c r="N159" s="50" t="s">
        <v>929</v>
      </c>
      <c r="O159" s="12" t="s">
        <v>597</v>
      </c>
      <c r="P159" s="135"/>
      <c r="Q159" s="135"/>
      <c r="R159" s="260" t="s">
        <v>930</v>
      </c>
    </row>
    <row r="160" spans="1:18" ht="58.5" customHeight="1" x14ac:dyDescent="0.2">
      <c r="A160" s="114" t="s">
        <v>875</v>
      </c>
      <c r="B160" s="257" t="s">
        <v>821</v>
      </c>
      <c r="C160" s="83" t="s">
        <v>873</v>
      </c>
      <c r="D160" s="12"/>
      <c r="E160" s="2"/>
      <c r="F160" s="12" t="s">
        <v>612</v>
      </c>
      <c r="G160" s="51" t="s">
        <v>567</v>
      </c>
      <c r="H160" s="167" t="s">
        <v>617</v>
      </c>
      <c r="I160" s="7" t="s">
        <v>620</v>
      </c>
      <c r="J160" s="294" t="s">
        <v>898</v>
      </c>
      <c r="K160" s="12"/>
      <c r="L160" s="173">
        <v>7</v>
      </c>
      <c r="M160" s="2"/>
      <c r="N160" s="50" t="s">
        <v>899</v>
      </c>
      <c r="O160" s="12" t="s">
        <v>597</v>
      </c>
      <c r="P160" s="135"/>
      <c r="Q160" s="135"/>
      <c r="R160" s="260">
        <v>45422</v>
      </c>
    </row>
    <row r="161" spans="1:18" ht="43.5" customHeight="1" x14ac:dyDescent="0.2">
      <c r="A161" s="114" t="s">
        <v>876</v>
      </c>
      <c r="B161" s="12" t="s">
        <v>114</v>
      </c>
      <c r="C161" s="83" t="s">
        <v>861</v>
      </c>
      <c r="D161" s="12"/>
      <c r="E161" s="2"/>
      <c r="F161" s="12" t="s">
        <v>935</v>
      </c>
      <c r="G161" s="51" t="s">
        <v>568</v>
      </c>
      <c r="H161" s="167" t="s">
        <v>617</v>
      </c>
      <c r="I161" s="7" t="s">
        <v>620</v>
      </c>
      <c r="J161" s="294" t="s">
        <v>898</v>
      </c>
      <c r="K161" s="12"/>
      <c r="L161" s="173">
        <v>9</v>
      </c>
      <c r="M161" s="2"/>
      <c r="N161" s="12">
        <v>542082662</v>
      </c>
      <c r="O161" s="12" t="s">
        <v>597</v>
      </c>
      <c r="P161" s="135"/>
      <c r="Q161" s="135"/>
      <c r="R161" s="260">
        <v>45422</v>
      </c>
    </row>
    <row r="162" spans="1:18" ht="38.5" customHeight="1" x14ac:dyDescent="0.2">
      <c r="A162" s="114" t="s">
        <v>878</v>
      </c>
      <c r="B162" s="12" t="s">
        <v>114</v>
      </c>
      <c r="C162" s="53" t="s">
        <v>877</v>
      </c>
      <c r="D162" s="12"/>
      <c r="E162" s="2"/>
      <c r="F162" s="12" t="s">
        <v>944</v>
      </c>
      <c r="G162" s="51" t="s">
        <v>569</v>
      </c>
      <c r="H162" s="167" t="s">
        <v>617</v>
      </c>
      <c r="I162" s="7" t="s">
        <v>620</v>
      </c>
      <c r="J162" s="294" t="s">
        <v>931</v>
      </c>
      <c r="K162" s="12"/>
      <c r="L162" s="173">
        <v>13</v>
      </c>
      <c r="M162" s="2"/>
      <c r="N162" s="12">
        <v>542082654</v>
      </c>
      <c r="O162" s="12" t="s">
        <v>597</v>
      </c>
      <c r="P162" s="135"/>
      <c r="Q162" s="135"/>
      <c r="R162" s="260" t="s">
        <v>930</v>
      </c>
    </row>
    <row r="163" spans="1:18" ht="34" x14ac:dyDescent="0.2">
      <c r="A163" s="494" t="s">
        <v>570</v>
      </c>
      <c r="B163" s="12" t="s">
        <v>114</v>
      </c>
      <c r="C163" s="53" t="s">
        <v>819</v>
      </c>
      <c r="D163" s="12" t="s">
        <v>1415</v>
      </c>
      <c r="E163" s="2"/>
      <c r="F163" s="53"/>
      <c r="G163" s="51" t="s">
        <v>571</v>
      </c>
      <c r="H163" s="167" t="s">
        <v>617</v>
      </c>
      <c r="I163" s="7" t="s">
        <v>620</v>
      </c>
      <c r="J163" s="294" t="s">
        <v>931</v>
      </c>
      <c r="K163" s="12"/>
      <c r="L163" s="173">
        <v>2</v>
      </c>
      <c r="M163" s="2"/>
      <c r="N163" s="12">
        <v>542082571</v>
      </c>
      <c r="O163" s="12" t="s">
        <v>597</v>
      </c>
      <c r="P163" s="135"/>
      <c r="Q163" s="135"/>
    </row>
    <row r="164" spans="1:18" ht="17" x14ac:dyDescent="0.2">
      <c r="A164" s="114" t="s">
        <v>572</v>
      </c>
      <c r="B164" s="12" t="s">
        <v>114</v>
      </c>
      <c r="C164" s="53" t="s">
        <v>820</v>
      </c>
      <c r="D164" s="12" t="s">
        <v>1637</v>
      </c>
      <c r="E164" s="2"/>
      <c r="F164" s="53"/>
      <c r="G164" s="51" t="s">
        <v>573</v>
      </c>
      <c r="H164" s="167" t="s">
        <v>617</v>
      </c>
      <c r="I164" s="7" t="s">
        <v>620</v>
      </c>
      <c r="J164" s="447" t="s">
        <v>1632</v>
      </c>
      <c r="K164" s="12"/>
      <c r="L164" s="173">
        <v>1</v>
      </c>
      <c r="M164" s="2"/>
      <c r="N164" s="12">
        <v>542082567</v>
      </c>
      <c r="O164" s="12" t="s">
        <v>597</v>
      </c>
      <c r="P164" s="135"/>
      <c r="Q164" s="135"/>
    </row>
    <row r="165" spans="1:18" ht="17" x14ac:dyDescent="0.2">
      <c r="A165" s="114" t="s">
        <v>574</v>
      </c>
      <c r="B165" s="12" t="s">
        <v>114</v>
      </c>
      <c r="C165" s="281" t="s">
        <v>817</v>
      </c>
      <c r="D165" s="50"/>
      <c r="E165" s="2"/>
      <c r="F165" s="53"/>
      <c r="G165" s="51" t="s">
        <v>575</v>
      </c>
      <c r="H165" s="167" t="s">
        <v>617</v>
      </c>
      <c r="I165" s="7" t="s">
        <v>620</v>
      </c>
      <c r="J165" s="447" t="s">
        <v>1632</v>
      </c>
      <c r="K165" s="12"/>
      <c r="L165" s="173">
        <v>6</v>
      </c>
      <c r="M165" s="2"/>
      <c r="N165" s="12">
        <v>542084597</v>
      </c>
      <c r="O165" s="12" t="s">
        <v>597</v>
      </c>
      <c r="P165" s="135"/>
      <c r="Q165" s="135"/>
    </row>
    <row r="166" spans="1:18" ht="17" x14ac:dyDescent="0.2">
      <c r="A166" s="114" t="s">
        <v>576</v>
      </c>
      <c r="B166" s="12" t="s">
        <v>114</v>
      </c>
      <c r="C166" s="281" t="s">
        <v>2157</v>
      </c>
      <c r="D166" s="12" t="s">
        <v>2156</v>
      </c>
      <c r="E166" s="2"/>
      <c r="F166" s="53"/>
      <c r="G166" s="51" t="s">
        <v>577</v>
      </c>
      <c r="H166" s="167" t="s">
        <v>617</v>
      </c>
      <c r="I166" s="7" t="s">
        <v>620</v>
      </c>
      <c r="J166" s="447" t="s">
        <v>1632</v>
      </c>
      <c r="K166" s="12"/>
      <c r="L166" s="173">
        <v>14</v>
      </c>
      <c r="M166" s="2"/>
      <c r="N166" s="12">
        <v>542082570</v>
      </c>
      <c r="O166" s="12" t="s">
        <v>597</v>
      </c>
      <c r="P166" s="135"/>
      <c r="Q166" s="135"/>
    </row>
    <row r="167" spans="1:18" ht="17" x14ac:dyDescent="0.2">
      <c r="A167" s="114" t="s">
        <v>578</v>
      </c>
      <c r="B167" s="12" t="s">
        <v>114</v>
      </c>
      <c r="C167" s="281" t="s">
        <v>818</v>
      </c>
      <c r="D167" s="12"/>
      <c r="E167" s="2"/>
      <c r="F167" s="53"/>
      <c r="G167" s="51" t="s">
        <v>579</v>
      </c>
      <c r="H167" s="167" t="s">
        <v>617</v>
      </c>
      <c r="I167" s="7" t="s">
        <v>620</v>
      </c>
      <c r="J167" s="447" t="s">
        <v>1632</v>
      </c>
      <c r="K167" s="12"/>
      <c r="L167" s="173"/>
      <c r="M167" s="2"/>
      <c r="N167" s="12">
        <v>542084598</v>
      </c>
      <c r="O167" s="12" t="s">
        <v>597</v>
      </c>
      <c r="P167" s="135"/>
      <c r="Q167" s="135"/>
    </row>
    <row r="168" spans="1:18" ht="34" x14ac:dyDescent="0.2">
      <c r="A168" s="114" t="s">
        <v>940</v>
      </c>
      <c r="B168" s="12" t="s">
        <v>114</v>
      </c>
      <c r="C168" s="53" t="s">
        <v>896</v>
      </c>
      <c r="D168" s="12"/>
      <c r="E168" s="2"/>
      <c r="F168" s="12" t="s">
        <v>937</v>
      </c>
      <c r="G168" s="51" t="s">
        <v>580</v>
      </c>
      <c r="H168" s="167" t="s">
        <v>617</v>
      </c>
      <c r="I168" s="7" t="s">
        <v>620</v>
      </c>
      <c r="J168" s="293" t="s">
        <v>694</v>
      </c>
      <c r="K168" s="12"/>
      <c r="L168" s="296">
        <v>11</v>
      </c>
      <c r="M168" s="2"/>
      <c r="N168" s="130">
        <v>542082647</v>
      </c>
      <c r="O168" s="12" t="s">
        <v>597</v>
      </c>
      <c r="P168" s="135"/>
      <c r="Q168" s="135"/>
      <c r="R168" s="260">
        <v>45422</v>
      </c>
    </row>
    <row r="169" spans="1:18" ht="34" x14ac:dyDescent="0.2">
      <c r="A169" s="114" t="s">
        <v>941</v>
      </c>
      <c r="B169" s="12" t="s">
        <v>114</v>
      </c>
      <c r="C169" s="53" t="s">
        <v>903</v>
      </c>
      <c r="D169" s="12"/>
      <c r="E169" s="2"/>
      <c r="F169" s="12" t="s">
        <v>936</v>
      </c>
      <c r="G169" s="51" t="s">
        <v>581</v>
      </c>
      <c r="H169" s="167" t="s">
        <v>617</v>
      </c>
      <c r="I169" s="7" t="s">
        <v>620</v>
      </c>
      <c r="J169" s="293" t="s">
        <v>694</v>
      </c>
      <c r="K169" s="12"/>
      <c r="L169" s="296">
        <v>4</v>
      </c>
      <c r="M169" s="2"/>
      <c r="N169" s="12">
        <v>542082367</v>
      </c>
      <c r="O169" s="12" t="s">
        <v>597</v>
      </c>
      <c r="P169" s="135"/>
      <c r="Q169" s="135"/>
      <c r="R169" s="260"/>
    </row>
    <row r="170" spans="1:18" x14ac:dyDescent="0.2">
      <c r="A170" s="126"/>
      <c r="B170" s="130"/>
      <c r="C170" s="125"/>
      <c r="D170" s="125"/>
      <c r="E170" s="628"/>
      <c r="F170" s="125"/>
      <c r="G170" s="126"/>
      <c r="H170" s="215"/>
      <c r="I170" s="15"/>
      <c r="J170" s="126"/>
      <c r="K170" s="130"/>
      <c r="L170" s="216"/>
      <c r="M170" s="216"/>
      <c r="O170" s="130"/>
      <c r="P170" s="217"/>
      <c r="Q170" s="217"/>
    </row>
    <row r="171" spans="1:18" ht="17" x14ac:dyDescent="0.2">
      <c r="A171" s="114" t="s">
        <v>1485</v>
      </c>
      <c r="B171" s="16"/>
      <c r="C171" s="83"/>
      <c r="D171" s="6"/>
      <c r="E171" s="2"/>
      <c r="F171" s="6"/>
      <c r="G171" s="51" t="s">
        <v>792</v>
      </c>
      <c r="H171" s="7"/>
      <c r="I171" s="7"/>
      <c r="J171" s="218" t="s">
        <v>794</v>
      </c>
      <c r="K171" s="16" t="s">
        <v>793</v>
      </c>
      <c r="L171" s="219"/>
      <c r="M171" s="2"/>
      <c r="N171" s="12"/>
      <c r="O171" s="16" t="s">
        <v>597</v>
      </c>
      <c r="P171" s="143"/>
      <c r="Q171" s="143"/>
    </row>
    <row r="172" spans="1:18" ht="16.5" customHeight="1" x14ac:dyDescent="0.2">
      <c r="A172" s="122" t="s">
        <v>2011</v>
      </c>
      <c r="B172" s="16"/>
      <c r="C172" s="83" t="s">
        <v>2012</v>
      </c>
      <c r="D172" s="6"/>
      <c r="E172" s="2"/>
      <c r="F172" s="16" t="s">
        <v>2015</v>
      </c>
      <c r="G172" s="51" t="s">
        <v>2013</v>
      </c>
      <c r="H172" s="7"/>
      <c r="I172" s="7"/>
      <c r="J172" s="218" t="s">
        <v>2014</v>
      </c>
      <c r="K172" s="16" t="s">
        <v>592</v>
      </c>
      <c r="L172" s="219">
        <v>1</v>
      </c>
      <c r="M172" s="2"/>
      <c r="N172" s="12"/>
      <c r="O172" s="16"/>
      <c r="P172" s="143"/>
      <c r="Q172" s="143"/>
    </row>
    <row r="173" spans="1:18" ht="21" x14ac:dyDescent="0.2">
      <c r="A173" s="114" t="s">
        <v>49</v>
      </c>
      <c r="B173" s="170"/>
      <c r="C173" s="153" t="s">
        <v>534</v>
      </c>
      <c r="D173" s="12" t="s">
        <v>1825</v>
      </c>
      <c r="E173" s="115"/>
      <c r="F173" s="350"/>
      <c r="G173" s="51" t="s">
        <v>703</v>
      </c>
      <c r="H173" s="7"/>
      <c r="I173" s="7"/>
      <c r="J173" s="25" t="s">
        <v>1769</v>
      </c>
      <c r="K173" s="277" t="s">
        <v>592</v>
      </c>
      <c r="L173" s="277">
        <v>1</v>
      </c>
      <c r="M173" s="2"/>
      <c r="N173" s="12">
        <v>544109326</v>
      </c>
      <c r="O173" s="170" t="s">
        <v>697</v>
      </c>
      <c r="P173" s="135"/>
      <c r="Q173" s="135"/>
      <c r="R173" s="260">
        <v>45370</v>
      </c>
    </row>
    <row r="174" spans="1:18" ht="21" x14ac:dyDescent="0.2">
      <c r="A174" s="114" t="s">
        <v>49</v>
      </c>
      <c r="B174" s="170"/>
      <c r="C174" s="50" t="s">
        <v>704</v>
      </c>
      <c r="D174" s="26" t="s">
        <v>1935</v>
      </c>
      <c r="E174" s="115"/>
      <c r="F174" s="298"/>
      <c r="G174" s="51" t="s">
        <v>705</v>
      </c>
      <c r="H174" s="167"/>
      <c r="I174" s="116"/>
      <c r="J174" s="25" t="s">
        <v>1769</v>
      </c>
      <c r="K174" s="297" t="s">
        <v>592</v>
      </c>
      <c r="L174" s="297">
        <v>2</v>
      </c>
      <c r="M174" s="2"/>
      <c r="N174" s="12">
        <v>544109326</v>
      </c>
      <c r="O174" s="170" t="s">
        <v>697</v>
      </c>
      <c r="P174" s="135"/>
      <c r="Q174" s="135"/>
      <c r="R174" s="260" t="s">
        <v>930</v>
      </c>
    </row>
    <row r="175" spans="1:18" ht="21" x14ac:dyDescent="0.2">
      <c r="A175" s="114" t="s">
        <v>49</v>
      </c>
      <c r="B175" s="16" t="s">
        <v>141</v>
      </c>
      <c r="C175" s="83" t="s">
        <v>822</v>
      </c>
      <c r="D175" s="26" t="s">
        <v>1926</v>
      </c>
      <c r="E175" s="115"/>
      <c r="F175" s="12" t="s">
        <v>1225</v>
      </c>
      <c r="G175" s="51" t="s">
        <v>811</v>
      </c>
      <c r="H175" s="7"/>
      <c r="I175" s="7"/>
      <c r="J175" s="25" t="s">
        <v>1769</v>
      </c>
      <c r="K175" s="297" t="s">
        <v>1286</v>
      </c>
      <c r="L175" s="298">
        <v>4</v>
      </c>
      <c r="M175" s="2"/>
      <c r="N175" s="12">
        <v>544109135</v>
      </c>
      <c r="O175" s="172" t="s">
        <v>1493</v>
      </c>
      <c r="P175" s="143"/>
      <c r="Q175" s="143"/>
      <c r="R175" s="260">
        <v>45450</v>
      </c>
    </row>
    <row r="176" spans="1:18" ht="21" x14ac:dyDescent="0.2">
      <c r="A176" s="114" t="s">
        <v>49</v>
      </c>
      <c r="B176" s="16" t="s">
        <v>141</v>
      </c>
      <c r="C176" s="83" t="s">
        <v>1101</v>
      </c>
      <c r="D176" s="26" t="s">
        <v>1927</v>
      </c>
      <c r="E176" s="115"/>
      <c r="F176" s="12" t="s">
        <v>1224</v>
      </c>
      <c r="G176" s="51" t="s">
        <v>706</v>
      </c>
      <c r="H176" s="167"/>
      <c r="I176" s="116"/>
      <c r="J176" s="25" t="s">
        <v>1769</v>
      </c>
      <c r="K176" s="297" t="s">
        <v>592</v>
      </c>
      <c r="L176" s="298">
        <v>3</v>
      </c>
      <c r="M176" s="2"/>
      <c r="N176" s="12">
        <v>544109729</v>
      </c>
      <c r="O176" s="170" t="s">
        <v>1104</v>
      </c>
      <c r="P176" s="135"/>
      <c r="Q176" s="135"/>
      <c r="R176" s="260">
        <v>45450</v>
      </c>
    </row>
    <row r="177" spans="1:18" ht="21" x14ac:dyDescent="0.2">
      <c r="A177" s="114" t="s">
        <v>49</v>
      </c>
      <c r="B177" s="16" t="s">
        <v>141</v>
      </c>
      <c r="C177" s="275" t="s">
        <v>1092</v>
      </c>
      <c r="D177" s="26" t="s">
        <v>1928</v>
      </c>
      <c r="E177" s="115"/>
      <c r="F177" s="130" t="s">
        <v>1223</v>
      </c>
      <c r="G177" s="274" t="s">
        <v>703</v>
      </c>
      <c r="H177" s="7"/>
      <c r="I177" s="7"/>
      <c r="J177" s="25" t="s">
        <v>1769</v>
      </c>
      <c r="K177" s="297"/>
      <c r="L177" s="298">
        <v>8</v>
      </c>
      <c r="M177" s="2"/>
      <c r="N177" s="12">
        <v>544109576</v>
      </c>
      <c r="O177" s="172" t="s">
        <v>1493</v>
      </c>
      <c r="P177" s="143"/>
      <c r="Q177" s="143"/>
      <c r="R177" s="260">
        <v>45450</v>
      </c>
    </row>
    <row r="178" spans="1:18" ht="34" x14ac:dyDescent="0.2">
      <c r="A178" s="114" t="s">
        <v>49</v>
      </c>
      <c r="B178" s="16" t="s">
        <v>141</v>
      </c>
      <c r="C178" s="132" t="s">
        <v>772</v>
      </c>
      <c r="D178" s="560" t="s">
        <v>1936</v>
      </c>
      <c r="E178" s="115"/>
      <c r="F178" s="12" t="s">
        <v>778</v>
      </c>
      <c r="G178" s="51" t="s">
        <v>583</v>
      </c>
      <c r="H178" s="167" t="s">
        <v>617</v>
      </c>
      <c r="I178" s="116" t="s">
        <v>620</v>
      </c>
      <c r="J178" s="294" t="s">
        <v>777</v>
      </c>
      <c r="K178" s="12"/>
      <c r="L178" s="340">
        <v>12</v>
      </c>
      <c r="M178" s="2"/>
      <c r="N178" s="12"/>
      <c r="O178" s="170"/>
      <c r="P178" s="135"/>
      <c r="Q178" s="135"/>
      <c r="R178" s="260"/>
    </row>
    <row r="179" spans="1:18" ht="21" x14ac:dyDescent="0.2">
      <c r="A179" s="114" t="s">
        <v>1487</v>
      </c>
      <c r="B179" s="16" t="s">
        <v>141</v>
      </c>
      <c r="C179" s="83" t="s">
        <v>709</v>
      </c>
      <c r="D179" s="26" t="s">
        <v>1932</v>
      </c>
      <c r="E179" s="2"/>
      <c r="F179" s="12"/>
      <c r="G179" s="51" t="s">
        <v>588</v>
      </c>
      <c r="H179" s="167"/>
      <c r="I179" s="7"/>
      <c r="J179" s="433" t="s">
        <v>1426</v>
      </c>
      <c r="K179" s="12"/>
      <c r="L179" s="219">
        <v>3</v>
      </c>
      <c r="M179" s="2"/>
      <c r="N179" s="12">
        <v>544129136</v>
      </c>
      <c r="O179" s="12" t="s">
        <v>1493</v>
      </c>
      <c r="P179" s="135"/>
      <c r="Q179" s="135"/>
      <c r="R179" s="260">
        <v>45370</v>
      </c>
    </row>
    <row r="180" spans="1:18" ht="17" x14ac:dyDescent="0.2">
      <c r="A180" s="114" t="s">
        <v>1487</v>
      </c>
      <c r="B180" s="16" t="s">
        <v>141</v>
      </c>
      <c r="C180" s="83" t="s">
        <v>710</v>
      </c>
      <c r="D180" s="26" t="s">
        <v>1931</v>
      </c>
      <c r="E180" s="2"/>
      <c r="F180" s="6"/>
      <c r="G180" s="51" t="s">
        <v>587</v>
      </c>
      <c r="H180" s="7"/>
      <c r="I180" s="7"/>
      <c r="J180" s="433" t="s">
        <v>1426</v>
      </c>
      <c r="K180" s="16"/>
      <c r="L180" s="219">
        <v>2</v>
      </c>
      <c r="M180" s="2"/>
      <c r="N180" s="12">
        <v>544129134</v>
      </c>
      <c r="O180" s="16" t="s">
        <v>1493</v>
      </c>
      <c r="P180" s="143"/>
      <c r="Q180" s="143"/>
    </row>
    <row r="181" spans="1:18" ht="17" x14ac:dyDescent="0.2">
      <c r="A181" s="114" t="s">
        <v>1487</v>
      </c>
      <c r="B181" s="16" t="s">
        <v>141</v>
      </c>
      <c r="C181" s="83" t="s">
        <v>711</v>
      </c>
      <c r="D181" s="26" t="s">
        <v>1933</v>
      </c>
      <c r="E181" s="2"/>
      <c r="F181" s="6"/>
      <c r="G181" s="51" t="s">
        <v>586</v>
      </c>
      <c r="H181" s="7"/>
      <c r="I181" s="7"/>
      <c r="J181" s="294" t="s">
        <v>1486</v>
      </c>
      <c r="K181" s="16"/>
      <c r="L181" s="219">
        <v>11</v>
      </c>
      <c r="M181" s="2"/>
      <c r="N181" s="12">
        <v>544109727</v>
      </c>
      <c r="O181" s="12" t="s">
        <v>697</v>
      </c>
      <c r="P181" s="143"/>
      <c r="Q181" s="143"/>
    </row>
    <row r="182" spans="1:18" ht="16.5" customHeight="1" x14ac:dyDescent="0.2">
      <c r="A182" s="114" t="s">
        <v>1487</v>
      </c>
      <c r="B182" s="16" t="s">
        <v>141</v>
      </c>
      <c r="C182" s="83" t="s">
        <v>712</v>
      </c>
      <c r="D182" s="26" t="s">
        <v>1934</v>
      </c>
      <c r="E182" s="2"/>
      <c r="F182" s="6"/>
      <c r="G182" s="51" t="s">
        <v>582</v>
      </c>
      <c r="H182" s="7"/>
      <c r="I182" s="7"/>
      <c r="J182" s="294" t="s">
        <v>1486</v>
      </c>
      <c r="K182" s="16"/>
      <c r="L182" s="219">
        <v>14</v>
      </c>
      <c r="M182" s="2"/>
      <c r="N182" s="12">
        <v>544109725</v>
      </c>
      <c r="O182" s="12" t="s">
        <v>697</v>
      </c>
      <c r="P182" s="143"/>
      <c r="Q182" s="143"/>
    </row>
    <row r="183" spans="1:18" ht="21" x14ac:dyDescent="0.2">
      <c r="A183" s="114" t="s">
        <v>1487</v>
      </c>
      <c r="B183" s="16" t="s">
        <v>141</v>
      </c>
      <c r="C183" s="83" t="s">
        <v>707</v>
      </c>
      <c r="D183" s="26" t="s">
        <v>1929</v>
      </c>
      <c r="E183" s="115"/>
      <c r="F183" s="12" t="s">
        <v>1868</v>
      </c>
      <c r="G183" s="51" t="s">
        <v>584</v>
      </c>
      <c r="H183" s="167"/>
      <c r="I183" s="116"/>
      <c r="J183" s="433" t="s">
        <v>1426</v>
      </c>
      <c r="K183" s="12"/>
      <c r="L183" s="171">
        <v>10</v>
      </c>
      <c r="M183" s="2"/>
      <c r="N183" s="12">
        <v>544109587</v>
      </c>
      <c r="O183" s="12" t="s">
        <v>597</v>
      </c>
      <c r="P183" s="135"/>
      <c r="Q183" s="135"/>
      <c r="R183" s="260">
        <v>45370</v>
      </c>
    </row>
    <row r="184" spans="1:18" ht="21" x14ac:dyDescent="0.2">
      <c r="A184" s="114" t="s">
        <v>1870</v>
      </c>
      <c r="B184" s="16" t="s">
        <v>141</v>
      </c>
      <c r="C184" s="83" t="s">
        <v>708</v>
      </c>
      <c r="D184" s="26" t="s">
        <v>1930</v>
      </c>
      <c r="E184" s="115"/>
      <c r="F184" s="12" t="s">
        <v>1869</v>
      </c>
      <c r="G184" s="51" t="s">
        <v>585</v>
      </c>
      <c r="H184" s="167"/>
      <c r="I184" s="116"/>
      <c r="J184" s="294" t="s">
        <v>1486</v>
      </c>
      <c r="K184" s="12"/>
      <c r="L184" s="219">
        <v>25</v>
      </c>
      <c r="M184" s="2"/>
      <c r="N184" s="12">
        <v>544109726</v>
      </c>
      <c r="O184" s="12" t="s">
        <v>597</v>
      </c>
      <c r="P184" s="135"/>
      <c r="Q184" s="135"/>
      <c r="R184" s="260">
        <v>45370</v>
      </c>
    </row>
    <row r="186" spans="1:18" ht="33" customHeight="1" x14ac:dyDescent="0.2">
      <c r="A186" s="142" t="s">
        <v>485</v>
      </c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</row>
    <row r="187" spans="1:18" ht="16.25" customHeight="1" x14ac:dyDescent="0.2">
      <c r="A187" s="485"/>
      <c r="B187" s="486"/>
      <c r="C187" s="486"/>
      <c r="D187" s="486"/>
      <c r="E187" s="486"/>
      <c r="F187" s="486"/>
      <c r="G187" s="486"/>
      <c r="H187" s="486"/>
      <c r="I187" s="486"/>
      <c r="J187" s="486"/>
      <c r="K187" s="486"/>
      <c r="L187" s="486"/>
      <c r="M187" s="486"/>
      <c r="N187" s="486"/>
      <c r="O187" s="486"/>
      <c r="P187" s="486"/>
      <c r="Q187" s="486"/>
    </row>
    <row r="188" spans="1:18" ht="51" customHeight="1" x14ac:dyDescent="0.2">
      <c r="A188" s="37" t="s">
        <v>1937</v>
      </c>
      <c r="B188" s="34" t="s">
        <v>115</v>
      </c>
      <c r="C188" s="29" t="s">
        <v>1</v>
      </c>
      <c r="D188" s="29" t="s">
        <v>320</v>
      </c>
      <c r="E188" s="30"/>
      <c r="F188" s="31" t="s">
        <v>443</v>
      </c>
      <c r="G188" s="32" t="s">
        <v>2</v>
      </c>
      <c r="H188" s="32" t="s">
        <v>614</v>
      </c>
      <c r="I188" s="32" t="s">
        <v>615</v>
      </c>
      <c r="J188" s="33" t="s">
        <v>3</v>
      </c>
      <c r="K188" s="33" t="s">
        <v>4</v>
      </c>
      <c r="L188" s="33" t="s">
        <v>5</v>
      </c>
      <c r="M188" s="30"/>
      <c r="N188" s="34" t="s">
        <v>6</v>
      </c>
      <c r="O188" s="35" t="s">
        <v>7</v>
      </c>
      <c r="P188" s="34" t="s">
        <v>8</v>
      </c>
      <c r="Q188" s="34" t="s">
        <v>111</v>
      </c>
    </row>
    <row r="189" spans="1:18" x14ac:dyDescent="0.2">
      <c r="A189" s="3"/>
      <c r="B189" s="1"/>
      <c r="C189" s="1"/>
      <c r="D189" s="1"/>
      <c r="E189" s="4"/>
      <c r="F189" s="5"/>
      <c r="G189" s="5"/>
      <c r="H189" s="5"/>
      <c r="I189" s="5"/>
      <c r="J189" s="1"/>
      <c r="K189" s="1"/>
      <c r="L189" s="1"/>
      <c r="M189" s="30"/>
      <c r="N189" s="1"/>
      <c r="O189" s="1"/>
      <c r="P189" s="1"/>
      <c r="Q189" s="1"/>
    </row>
    <row r="190" spans="1:18" s="130" customFormat="1" ht="34" x14ac:dyDescent="0.2">
      <c r="A190" s="17" t="s">
        <v>446</v>
      </c>
      <c r="B190" s="12" t="s">
        <v>595</v>
      </c>
      <c r="C190" s="152" t="s">
        <v>603</v>
      </c>
      <c r="D190" s="12" t="s">
        <v>632</v>
      </c>
      <c r="E190" s="4"/>
      <c r="F190" s="12" t="s">
        <v>628</v>
      </c>
      <c r="G190" s="51" t="s">
        <v>1442</v>
      </c>
      <c r="H190" s="208" t="s">
        <v>617</v>
      </c>
      <c r="I190" s="51" t="s">
        <v>682</v>
      </c>
      <c r="J190" s="150" t="s">
        <v>601</v>
      </c>
      <c r="K190" s="12"/>
      <c r="L190" s="151">
        <v>1</v>
      </c>
      <c r="M190" s="30"/>
      <c r="N190" s="50" t="s">
        <v>596</v>
      </c>
      <c r="O190" s="50" t="s">
        <v>683</v>
      </c>
      <c r="P190" s="205"/>
      <c r="Q190" s="205"/>
      <c r="R190" s="126"/>
    </row>
    <row r="191" spans="1:18" ht="34" x14ac:dyDescent="0.2">
      <c r="A191" s="27" t="s">
        <v>257</v>
      </c>
      <c r="B191" s="12" t="s">
        <v>454</v>
      </c>
      <c r="C191" s="153" t="s">
        <v>608</v>
      </c>
      <c r="D191" s="181" t="s">
        <v>637</v>
      </c>
      <c r="E191" s="4"/>
      <c r="F191" s="205"/>
      <c r="G191" s="205"/>
      <c r="H191" s="205"/>
      <c r="I191" s="205"/>
      <c r="J191" s="7" t="s">
        <v>313</v>
      </c>
      <c r="K191" s="50" t="s">
        <v>791</v>
      </c>
      <c r="L191" s="207"/>
      <c r="M191" s="30"/>
      <c r="N191" s="50" t="s">
        <v>593</v>
      </c>
      <c r="O191" s="16"/>
      <c r="P191" s="205"/>
      <c r="Q191" s="205"/>
    </row>
    <row r="192" spans="1:18" ht="51" x14ac:dyDescent="0.2">
      <c r="A192" s="27" t="s">
        <v>265</v>
      </c>
      <c r="B192" s="12" t="s">
        <v>459</v>
      </c>
      <c r="C192" s="153" t="s">
        <v>604</v>
      </c>
      <c r="D192" s="181" t="s">
        <v>1060</v>
      </c>
      <c r="E192" s="4"/>
      <c r="F192" s="206"/>
      <c r="G192" s="205"/>
      <c r="H192" s="205"/>
      <c r="I192" s="205"/>
      <c r="J192" s="7" t="s">
        <v>313</v>
      </c>
      <c r="K192" s="50" t="s">
        <v>791</v>
      </c>
      <c r="L192" s="207"/>
      <c r="M192" s="30"/>
      <c r="N192" s="50" t="s">
        <v>633</v>
      </c>
      <c r="O192" s="16"/>
      <c r="P192" s="205"/>
      <c r="Q192" s="205"/>
    </row>
    <row r="193" spans="1:18" ht="51" x14ac:dyDescent="0.2">
      <c r="A193" s="27" t="s">
        <v>271</v>
      </c>
      <c r="B193" s="12" t="s">
        <v>459</v>
      </c>
      <c r="C193" s="153" t="s">
        <v>605</v>
      </c>
      <c r="D193" s="181" t="s">
        <v>1061</v>
      </c>
      <c r="E193" s="4"/>
      <c r="F193" s="205"/>
      <c r="G193" s="205"/>
      <c r="H193" s="205"/>
      <c r="I193" s="205"/>
      <c r="J193" s="7" t="s">
        <v>313</v>
      </c>
      <c r="K193" s="50" t="s">
        <v>791</v>
      </c>
      <c r="L193" s="207"/>
      <c r="M193" s="30"/>
      <c r="N193" s="50" t="s">
        <v>634</v>
      </c>
      <c r="O193" s="16"/>
      <c r="P193" s="205"/>
      <c r="Q193" s="205"/>
    </row>
    <row r="194" spans="1:18" ht="51" x14ac:dyDescent="0.2">
      <c r="A194" s="27" t="s">
        <v>464</v>
      </c>
      <c r="B194" s="12" t="s">
        <v>459</v>
      </c>
      <c r="C194" s="153" t="s">
        <v>606</v>
      </c>
      <c r="D194" s="181" t="s">
        <v>636</v>
      </c>
      <c r="E194" s="4"/>
      <c r="F194" s="205"/>
      <c r="G194" s="205"/>
      <c r="H194" s="205"/>
      <c r="I194" s="205"/>
      <c r="J194" s="7" t="s">
        <v>313</v>
      </c>
      <c r="K194" s="50" t="s">
        <v>791</v>
      </c>
      <c r="L194" s="207"/>
      <c r="M194" s="30"/>
      <c r="N194" s="50" t="s">
        <v>635</v>
      </c>
      <c r="O194" s="16"/>
      <c r="P194" s="205"/>
      <c r="Q194" s="205"/>
    </row>
    <row r="195" spans="1:18" ht="51" x14ac:dyDescent="0.2">
      <c r="A195" s="27" t="s">
        <v>466</v>
      </c>
      <c r="B195" s="12" t="s">
        <v>459</v>
      </c>
      <c r="C195" s="153" t="s">
        <v>607</v>
      </c>
      <c r="D195" s="181" t="s">
        <v>638</v>
      </c>
      <c r="E195" s="4"/>
      <c r="F195" s="205"/>
      <c r="G195" s="205"/>
      <c r="H195" s="205"/>
      <c r="I195" s="205"/>
      <c r="J195" s="7" t="s">
        <v>313</v>
      </c>
      <c r="K195" s="50" t="s">
        <v>791</v>
      </c>
      <c r="L195" s="207"/>
      <c r="M195" s="30"/>
      <c r="N195" s="50" t="s">
        <v>594</v>
      </c>
      <c r="O195" s="16"/>
      <c r="P195" s="205"/>
      <c r="Q195" s="205"/>
    </row>
    <row r="198" spans="1:18" ht="15.5" customHeight="1" x14ac:dyDescent="0.2">
      <c r="A198" s="769" t="s">
        <v>689</v>
      </c>
      <c r="B198" s="755"/>
      <c r="C198" s="755" t="s">
        <v>1853</v>
      </c>
      <c r="D198" s="755"/>
      <c r="E198" s="746"/>
      <c r="F198" s="746"/>
      <c r="G198" s="755" t="s">
        <v>1799</v>
      </c>
      <c r="H198" s="746"/>
      <c r="I198" s="746"/>
      <c r="J198" s="766" t="s">
        <v>1432</v>
      </c>
      <c r="K198" s="755"/>
      <c r="L198" s="755">
        <v>10</v>
      </c>
      <c r="M198" s="746"/>
      <c r="N198" s="755">
        <v>542082674</v>
      </c>
      <c r="O198" s="755" t="s">
        <v>597</v>
      </c>
      <c r="P198" s="746"/>
      <c r="Q198" s="746"/>
    </row>
    <row r="199" spans="1:18" ht="15.5" customHeight="1" x14ac:dyDescent="0.2">
      <c r="A199" s="769"/>
      <c r="B199" s="755"/>
      <c r="C199" s="755"/>
      <c r="D199" s="755"/>
      <c r="E199" s="746"/>
      <c r="F199" s="746"/>
      <c r="G199" s="755"/>
      <c r="H199" s="746"/>
      <c r="I199" s="746"/>
      <c r="J199" s="767"/>
      <c r="K199" s="755"/>
      <c r="L199" s="755"/>
      <c r="M199" s="746"/>
      <c r="N199" s="755"/>
      <c r="O199" s="755"/>
      <c r="P199" s="746"/>
      <c r="Q199" s="746"/>
    </row>
    <row r="200" spans="1:18" ht="15.5" customHeight="1" x14ac:dyDescent="0.2">
      <c r="A200" s="769"/>
      <c r="B200" s="755"/>
      <c r="C200" s="755"/>
      <c r="D200" s="755"/>
      <c r="E200" s="746"/>
      <c r="F200" s="746"/>
      <c r="G200" s="755"/>
      <c r="H200" s="746"/>
      <c r="I200" s="746"/>
      <c r="J200" s="767"/>
      <c r="K200" s="755"/>
      <c r="L200" s="755"/>
      <c r="M200" s="746"/>
      <c r="N200" s="755"/>
      <c r="O200" s="755"/>
      <c r="P200" s="746"/>
      <c r="Q200" s="746"/>
    </row>
    <row r="201" spans="1:18" ht="15.5" customHeight="1" x14ac:dyDescent="0.2">
      <c r="A201" s="769"/>
      <c r="B201" s="755"/>
      <c r="C201" s="755"/>
      <c r="D201" s="755"/>
      <c r="E201" s="746"/>
      <c r="F201" s="746"/>
      <c r="G201" s="755"/>
      <c r="H201" s="746"/>
      <c r="I201" s="746"/>
      <c r="J201" s="768"/>
      <c r="K201" s="755"/>
      <c r="L201" s="755"/>
      <c r="M201" s="746"/>
      <c r="N201" s="755"/>
      <c r="O201" s="755"/>
      <c r="P201" s="746"/>
      <c r="Q201" s="746"/>
    </row>
    <row r="202" spans="1:18" ht="38.5" customHeight="1" x14ac:dyDescent="0.2">
      <c r="A202" s="354" t="s">
        <v>1854</v>
      </c>
      <c r="B202" s="12"/>
      <c r="C202" s="180" t="s">
        <v>1781</v>
      </c>
      <c r="D202" s="561" t="s">
        <v>1938</v>
      </c>
      <c r="E202" s="16"/>
      <c r="F202" s="261"/>
      <c r="G202" s="60"/>
      <c r="H202" s="60"/>
      <c r="I202" s="60"/>
      <c r="J202" s="16"/>
      <c r="K202" s="16"/>
      <c r="L202" s="173"/>
      <c r="M202" s="16"/>
      <c r="N202" s="50"/>
      <c r="O202" s="12" t="s">
        <v>597</v>
      </c>
      <c r="P202" s="207"/>
      <c r="Q202" s="207"/>
    </row>
    <row r="203" spans="1:18" s="14" customFormat="1" ht="51.5" customHeight="1" x14ac:dyDescent="0.2">
      <c r="A203" s="488" t="s">
        <v>286</v>
      </c>
      <c r="B203" s="16"/>
      <c r="C203" s="12" t="s">
        <v>290</v>
      </c>
      <c r="D203" s="12"/>
      <c r="E203" s="16"/>
      <c r="F203" s="207"/>
      <c r="G203" s="453"/>
      <c r="H203" s="207"/>
      <c r="I203" s="207"/>
      <c r="J203" s="51" t="s">
        <v>313</v>
      </c>
      <c r="K203" s="16"/>
      <c r="L203" s="16"/>
      <c r="M203" s="16"/>
      <c r="N203" s="12"/>
      <c r="O203" s="16"/>
      <c r="P203" s="207"/>
      <c r="Q203" s="207"/>
      <c r="R203" s="148"/>
    </row>
    <row r="204" spans="1:18" s="14" customFormat="1" ht="49.25" customHeight="1" x14ac:dyDescent="0.2">
      <c r="A204" s="27" t="s">
        <v>287</v>
      </c>
      <c r="B204" s="16"/>
      <c r="C204" s="12" t="s">
        <v>292</v>
      </c>
      <c r="D204" s="12"/>
      <c r="E204" s="16"/>
      <c r="F204" s="207"/>
      <c r="G204" s="453"/>
      <c r="H204" s="207"/>
      <c r="I204" s="207"/>
      <c r="J204" s="51" t="s">
        <v>313</v>
      </c>
      <c r="K204" s="16"/>
      <c r="L204" s="16"/>
      <c r="M204" s="16"/>
      <c r="N204" s="12"/>
      <c r="O204" s="16"/>
      <c r="P204" s="207"/>
      <c r="Q204" s="207"/>
      <c r="R204" s="148"/>
    </row>
    <row r="205" spans="1:18" s="14" customFormat="1" ht="46.75" customHeight="1" x14ac:dyDescent="0.2">
      <c r="A205" s="27" t="s">
        <v>690</v>
      </c>
      <c r="B205" s="16"/>
      <c r="C205" s="12" t="s">
        <v>1860</v>
      </c>
      <c r="D205" s="12"/>
      <c r="E205" s="16"/>
      <c r="F205" s="207"/>
      <c r="G205" s="453"/>
      <c r="H205" s="207"/>
      <c r="I205" s="207"/>
      <c r="J205" s="51" t="s">
        <v>313</v>
      </c>
      <c r="K205" s="16"/>
      <c r="L205" s="16"/>
      <c r="M205" s="16"/>
      <c r="N205" s="12"/>
      <c r="O205" s="16"/>
      <c r="P205" s="207"/>
      <c r="Q205" s="207"/>
      <c r="R205" s="148"/>
    </row>
    <row r="206" spans="1:18" ht="37" x14ac:dyDescent="0.2">
      <c r="A206" s="146"/>
      <c r="C206" s="359"/>
      <c r="D206" s="359"/>
      <c r="E206" s="14"/>
      <c r="F206" s="14"/>
      <c r="G206" s="14"/>
      <c r="H206" s="14"/>
      <c r="I206" s="14"/>
      <c r="J206" s="126"/>
      <c r="Q206"/>
    </row>
    <row r="207" spans="1:18" x14ac:dyDescent="0.2">
      <c r="A207" s="20"/>
      <c r="B207" s="130"/>
      <c r="C207" s="339"/>
      <c r="D207" s="14"/>
      <c r="E207" s="14"/>
      <c r="F207" s="14"/>
      <c r="G207" s="14"/>
      <c r="H207" s="14"/>
      <c r="I207" s="14"/>
      <c r="J207" s="367"/>
      <c r="N207" s="124"/>
    </row>
    <row r="208" spans="1:18" s="130" customFormat="1" ht="35" customHeight="1" x14ac:dyDescent="0.2">
      <c r="A208" s="17" t="s">
        <v>1325</v>
      </c>
      <c r="B208" s="12"/>
      <c r="C208" s="50" t="s">
        <v>1436</v>
      </c>
      <c r="D208" s="12" t="s">
        <v>1441</v>
      </c>
      <c r="E208" s="12"/>
      <c r="F208" s="170" t="s">
        <v>1700</v>
      </c>
      <c r="G208" s="12" t="s">
        <v>1433</v>
      </c>
      <c r="H208" s="12"/>
      <c r="I208" s="12"/>
      <c r="J208" s="461" t="s">
        <v>1432</v>
      </c>
      <c r="K208" s="12"/>
      <c r="L208" s="51">
        <v>3</v>
      </c>
      <c r="M208" s="12"/>
      <c r="N208" s="50">
        <v>542082176</v>
      </c>
      <c r="O208" s="12" t="s">
        <v>597</v>
      </c>
      <c r="P208" s="453"/>
      <c r="Q208" s="453"/>
      <c r="R208" s="126"/>
    </row>
    <row r="209" spans="1:18" s="14" customFormat="1" ht="20.5" customHeight="1" x14ac:dyDescent="0.2">
      <c r="A209" s="354" t="s">
        <v>1434</v>
      </c>
      <c r="B209" s="16"/>
      <c r="C209" s="16" t="s">
        <v>163</v>
      </c>
      <c r="D209" s="562" t="s">
        <v>1939</v>
      </c>
      <c r="E209" s="16"/>
      <c r="F209" s="170" t="s">
        <v>1701</v>
      </c>
      <c r="G209" s="12" t="s">
        <v>795</v>
      </c>
      <c r="H209" s="16"/>
      <c r="I209" s="16"/>
      <c r="J209" s="427" t="s">
        <v>1432</v>
      </c>
      <c r="K209" s="16"/>
      <c r="L209" s="16">
        <v>2</v>
      </c>
      <c r="M209" s="16"/>
      <c r="N209" s="12">
        <v>544137170</v>
      </c>
      <c r="O209" s="16" t="s">
        <v>697</v>
      </c>
      <c r="P209" s="16"/>
      <c r="Q209" s="16"/>
      <c r="R209" s="148"/>
    </row>
    <row r="210" spans="1:18" s="14" customFormat="1" x14ac:dyDescent="0.2">
      <c r="A210" s="747" t="s">
        <v>692</v>
      </c>
      <c r="B210" s="746"/>
      <c r="C210" s="757" t="s">
        <v>1437</v>
      </c>
      <c r="D210" s="746"/>
      <c r="E210" s="746"/>
      <c r="F210" s="748"/>
      <c r="G210" s="742"/>
      <c r="H210" s="742"/>
      <c r="I210" s="742"/>
      <c r="J210" s="743" t="s">
        <v>313</v>
      </c>
      <c r="K210" s="746"/>
      <c r="L210" s="743"/>
      <c r="M210" s="746"/>
      <c r="N210" s="757">
        <v>788891503</v>
      </c>
      <c r="O210" s="746"/>
      <c r="P210" s="742"/>
      <c r="Q210" s="742"/>
      <c r="R210" s="148"/>
    </row>
    <row r="211" spans="1:18" s="14" customFormat="1" x14ac:dyDescent="0.2">
      <c r="A211" s="747" t="s">
        <v>693</v>
      </c>
      <c r="B211" s="746"/>
      <c r="C211" s="757"/>
      <c r="D211" s="746"/>
      <c r="E211" s="746"/>
      <c r="F211" s="749"/>
      <c r="G211" s="742"/>
      <c r="H211" s="742"/>
      <c r="I211" s="742"/>
      <c r="J211" s="743"/>
      <c r="K211" s="746"/>
      <c r="L211" s="743"/>
      <c r="M211" s="746"/>
      <c r="N211" s="757"/>
      <c r="O211" s="746"/>
      <c r="P211" s="742"/>
      <c r="Q211" s="742"/>
      <c r="R211" s="148"/>
    </row>
    <row r="212" spans="1:18" s="14" customFormat="1" x14ac:dyDescent="0.2">
      <c r="A212" s="747" t="s">
        <v>691</v>
      </c>
      <c r="B212" s="746"/>
      <c r="C212" s="757"/>
      <c r="D212" s="746"/>
      <c r="E212" s="746"/>
      <c r="F212" s="750"/>
      <c r="G212" s="742"/>
      <c r="H212" s="742"/>
      <c r="I212" s="742"/>
      <c r="J212" s="743"/>
      <c r="K212" s="746"/>
      <c r="L212" s="743"/>
      <c r="M212" s="746"/>
      <c r="N212" s="757"/>
      <c r="O212" s="746"/>
      <c r="P212" s="742"/>
      <c r="Q212" s="742"/>
      <c r="R212" s="148"/>
    </row>
    <row r="213" spans="1:18" s="14" customFormat="1" ht="15.5" customHeight="1" x14ac:dyDescent="0.2">
      <c r="A213" s="354" t="s">
        <v>1438</v>
      </c>
      <c r="B213" s="16"/>
      <c r="C213" s="16" t="s">
        <v>181</v>
      </c>
      <c r="D213" s="562" t="s">
        <v>1940</v>
      </c>
      <c r="E213" s="16"/>
      <c r="F213" s="170" t="s">
        <v>1702</v>
      </c>
      <c r="G213" s="16" t="s">
        <v>796</v>
      </c>
      <c r="H213" s="16"/>
      <c r="I213" s="16"/>
      <c r="J213" s="427" t="s">
        <v>1432</v>
      </c>
      <c r="K213" s="16"/>
      <c r="L213" s="16">
        <v>4</v>
      </c>
      <c r="M213" s="16"/>
      <c r="N213" s="12"/>
      <c r="O213" s="16" t="s">
        <v>598</v>
      </c>
      <c r="P213" s="16"/>
      <c r="Q213" s="16"/>
      <c r="R213" s="148"/>
    </row>
    <row r="214" spans="1:18" s="14" customFormat="1" ht="17.5" customHeight="1" x14ac:dyDescent="0.2">
      <c r="A214" s="354" t="s">
        <v>1440</v>
      </c>
      <c r="B214" s="16"/>
      <c r="C214" s="16" t="s">
        <v>179</v>
      </c>
      <c r="D214" s="562" t="s">
        <v>1941</v>
      </c>
      <c r="E214" s="16"/>
      <c r="F214" s="170" t="s">
        <v>1703</v>
      </c>
      <c r="G214" s="16" t="s">
        <v>801</v>
      </c>
      <c r="H214" s="16"/>
      <c r="I214" s="16"/>
      <c r="J214" s="427" t="s">
        <v>1432</v>
      </c>
      <c r="K214" s="16"/>
      <c r="L214" s="16">
        <v>7</v>
      </c>
      <c r="M214" s="16"/>
      <c r="N214" s="12">
        <v>544137175</v>
      </c>
      <c r="O214" s="16" t="s">
        <v>598</v>
      </c>
      <c r="P214" s="16"/>
      <c r="Q214" s="16"/>
      <c r="R214" s="148"/>
    </row>
    <row r="215" spans="1:18" s="14" customFormat="1" ht="17.5" customHeight="1" x14ac:dyDescent="0.2">
      <c r="A215" s="354" t="s">
        <v>1439</v>
      </c>
      <c r="B215" s="16"/>
      <c r="C215" s="16" t="s">
        <v>198</v>
      </c>
      <c r="D215" s="562" t="s">
        <v>1942</v>
      </c>
      <c r="E215" s="16"/>
      <c r="F215" s="170" t="s">
        <v>1704</v>
      </c>
      <c r="G215" s="16" t="s">
        <v>797</v>
      </c>
      <c r="H215" s="16"/>
      <c r="I215" s="16"/>
      <c r="J215" s="427" t="s">
        <v>1432</v>
      </c>
      <c r="K215" s="16"/>
      <c r="L215" s="16">
        <v>6</v>
      </c>
      <c r="M215" s="16"/>
      <c r="N215" s="12">
        <v>544137177</v>
      </c>
      <c r="O215" s="16" t="s">
        <v>598</v>
      </c>
      <c r="P215" s="16"/>
      <c r="Q215" s="16"/>
      <c r="R215" s="148"/>
    </row>
    <row r="216" spans="1:18" ht="15.75" customHeight="1" x14ac:dyDescent="0.2">
      <c r="A216" s="747" t="s">
        <v>178</v>
      </c>
      <c r="B216" s="467" t="s">
        <v>1341</v>
      </c>
      <c r="C216" s="468"/>
      <c r="D216" s="468"/>
      <c r="E216" s="469"/>
      <c r="F216" s="742"/>
      <c r="G216" s="744"/>
      <c r="H216" s="742"/>
      <c r="I216" s="742"/>
      <c r="J216" s="743" t="s">
        <v>313</v>
      </c>
      <c r="K216" s="746"/>
      <c r="L216" s="743"/>
      <c r="M216" s="746"/>
      <c r="N216" s="757"/>
      <c r="O216" s="746"/>
      <c r="P216" s="742"/>
      <c r="Q216" s="742"/>
    </row>
    <row r="217" spans="1:18" x14ac:dyDescent="0.2">
      <c r="A217" s="747"/>
      <c r="B217" s="470"/>
      <c r="C217" s="125"/>
      <c r="D217" s="125"/>
      <c r="E217" s="471"/>
      <c r="F217" s="742"/>
      <c r="G217" s="744"/>
      <c r="H217" s="742"/>
      <c r="I217" s="742"/>
      <c r="J217" s="743"/>
      <c r="K217" s="746"/>
      <c r="L217" s="743"/>
      <c r="M217" s="746"/>
      <c r="N217" s="757"/>
      <c r="O217" s="746"/>
      <c r="P217" s="742"/>
      <c r="Q217" s="742"/>
    </row>
    <row r="218" spans="1:18" x14ac:dyDescent="0.2">
      <c r="A218" s="747"/>
      <c r="B218" s="472"/>
      <c r="C218" s="473"/>
      <c r="D218" s="473"/>
      <c r="E218" s="474"/>
      <c r="F218" s="742"/>
      <c r="G218" s="744"/>
      <c r="H218" s="742"/>
      <c r="I218" s="742"/>
      <c r="J218" s="743"/>
      <c r="K218" s="746"/>
      <c r="L218" s="743"/>
      <c r="M218" s="746"/>
      <c r="N218" s="757"/>
      <c r="O218" s="746"/>
      <c r="P218" s="742"/>
      <c r="Q218" s="742"/>
    </row>
    <row r="219" spans="1:18" x14ac:dyDescent="0.2">
      <c r="A219" s="747" t="s">
        <v>742</v>
      </c>
      <c r="B219" s="16"/>
      <c r="C219" s="169" t="s">
        <v>1483</v>
      </c>
      <c r="D219" s="6"/>
      <c r="E219" s="6"/>
      <c r="F219" s="742"/>
      <c r="G219" s="744"/>
      <c r="H219" s="742"/>
      <c r="I219" s="742"/>
      <c r="J219" s="743" t="s">
        <v>313</v>
      </c>
      <c r="K219" s="746"/>
      <c r="L219" s="743"/>
      <c r="M219" s="746"/>
      <c r="N219" s="757" t="s">
        <v>1449</v>
      </c>
      <c r="O219" s="746"/>
      <c r="P219" s="742"/>
      <c r="Q219" s="742"/>
    </row>
    <row r="220" spans="1:18" x14ac:dyDescent="0.2">
      <c r="A220" s="747"/>
      <c r="B220" s="16"/>
      <c r="C220" s="270"/>
      <c r="D220" s="6"/>
      <c r="E220" s="6"/>
      <c r="F220" s="742"/>
      <c r="G220" s="744"/>
      <c r="H220" s="742"/>
      <c r="I220" s="742"/>
      <c r="J220" s="743"/>
      <c r="K220" s="746"/>
      <c r="L220" s="743"/>
      <c r="M220" s="746"/>
      <c r="N220" s="757"/>
      <c r="O220" s="746"/>
      <c r="P220" s="742"/>
      <c r="Q220" s="742"/>
    </row>
    <row r="221" spans="1:18" x14ac:dyDescent="0.2">
      <c r="A221" s="747"/>
      <c r="B221" s="16"/>
      <c r="C221" s="457"/>
      <c r="D221" s="6"/>
      <c r="E221" s="6"/>
      <c r="F221" s="742"/>
      <c r="G221" s="744"/>
      <c r="H221" s="742"/>
      <c r="I221" s="742"/>
      <c r="J221" s="743"/>
      <c r="K221" s="746"/>
      <c r="L221" s="743"/>
      <c r="M221" s="746"/>
      <c r="N221" s="757"/>
      <c r="O221" s="746"/>
      <c r="P221" s="742"/>
      <c r="Q221" s="742"/>
    </row>
    <row r="222" spans="1:18" x14ac:dyDescent="0.2">
      <c r="A222" s="747" t="s">
        <v>741</v>
      </c>
      <c r="B222" s="16"/>
      <c r="C222" s="169" t="s">
        <v>1453</v>
      </c>
      <c r="D222" s="6"/>
      <c r="E222" s="6"/>
      <c r="F222" s="742"/>
      <c r="G222" s="744"/>
      <c r="H222" s="742"/>
      <c r="I222" s="742"/>
      <c r="J222" s="743" t="s">
        <v>313</v>
      </c>
      <c r="K222" s="746"/>
      <c r="L222" s="743"/>
      <c r="M222" s="746"/>
      <c r="N222" s="757" t="s">
        <v>1450</v>
      </c>
      <c r="O222" s="746"/>
      <c r="P222" s="742"/>
      <c r="Q222" s="742"/>
    </row>
    <row r="223" spans="1:18" x14ac:dyDescent="0.2">
      <c r="A223" s="747"/>
      <c r="B223" s="16"/>
      <c r="C223" s="270"/>
      <c r="D223" s="6"/>
      <c r="E223" s="6"/>
      <c r="F223" s="742"/>
      <c r="G223" s="744"/>
      <c r="H223" s="742"/>
      <c r="I223" s="742"/>
      <c r="J223" s="743"/>
      <c r="K223" s="746"/>
      <c r="L223" s="743"/>
      <c r="M223" s="746"/>
      <c r="N223" s="757"/>
      <c r="O223" s="746"/>
      <c r="P223" s="742"/>
      <c r="Q223" s="742"/>
    </row>
    <row r="224" spans="1:18" x14ac:dyDescent="0.2">
      <c r="A224" s="747"/>
      <c r="B224" s="16"/>
      <c r="C224" s="457"/>
      <c r="D224" s="6"/>
      <c r="E224" s="6"/>
      <c r="F224" s="742"/>
      <c r="G224" s="744"/>
      <c r="H224" s="742"/>
      <c r="I224" s="742"/>
      <c r="J224" s="743"/>
      <c r="K224" s="746"/>
      <c r="L224" s="743"/>
      <c r="M224" s="746"/>
      <c r="N224" s="757"/>
      <c r="O224" s="746"/>
      <c r="P224" s="742"/>
      <c r="Q224" s="742"/>
    </row>
    <row r="225" spans="1:18" x14ac:dyDescent="0.2">
      <c r="A225" s="747" t="s">
        <v>1299</v>
      </c>
      <c r="B225" s="16"/>
      <c r="C225" s="169" t="s">
        <v>1452</v>
      </c>
      <c r="D225" s="6"/>
      <c r="E225" s="6"/>
      <c r="F225" s="742"/>
      <c r="G225" s="744"/>
      <c r="H225" s="742"/>
      <c r="I225" s="742"/>
      <c r="J225" s="743" t="s">
        <v>313</v>
      </c>
      <c r="K225" s="746"/>
      <c r="L225" s="743"/>
      <c r="M225" s="746"/>
      <c r="N225" s="757" t="s">
        <v>1448</v>
      </c>
      <c r="O225" s="746"/>
      <c r="P225" s="742"/>
      <c r="Q225" s="742"/>
    </row>
    <row r="226" spans="1:18" x14ac:dyDescent="0.2">
      <c r="A226" s="747"/>
      <c r="B226" s="16"/>
      <c r="C226" s="270"/>
      <c r="D226" s="6"/>
      <c r="E226" s="6"/>
      <c r="F226" s="742"/>
      <c r="G226" s="744"/>
      <c r="H226" s="742"/>
      <c r="I226" s="742"/>
      <c r="J226" s="743"/>
      <c r="K226" s="746"/>
      <c r="L226" s="743"/>
      <c r="M226" s="746"/>
      <c r="N226" s="757"/>
      <c r="O226" s="746"/>
      <c r="P226" s="742"/>
      <c r="Q226" s="742"/>
    </row>
    <row r="227" spans="1:18" x14ac:dyDescent="0.2">
      <c r="A227" s="747"/>
      <c r="B227" s="16"/>
      <c r="C227" s="457"/>
      <c r="D227" s="6"/>
      <c r="E227" s="6"/>
      <c r="F227" s="742"/>
      <c r="G227" s="744"/>
      <c r="H227" s="742"/>
      <c r="I227" s="742"/>
      <c r="J227" s="743"/>
      <c r="K227" s="746"/>
      <c r="L227" s="743"/>
      <c r="M227" s="746"/>
      <c r="N227" s="757"/>
      <c r="O227" s="746"/>
      <c r="P227" s="742"/>
      <c r="Q227" s="742"/>
    </row>
    <row r="228" spans="1:18" x14ac:dyDescent="0.2">
      <c r="A228" s="747" t="s">
        <v>740</v>
      </c>
      <c r="B228" s="16"/>
      <c r="C228" s="169" t="s">
        <v>1451</v>
      </c>
      <c r="D228" s="6"/>
      <c r="E228" s="6"/>
      <c r="F228" s="742"/>
      <c r="G228" s="744"/>
      <c r="H228" s="742"/>
      <c r="I228" s="742"/>
      <c r="J228" s="743" t="s">
        <v>313</v>
      </c>
      <c r="K228" s="746"/>
      <c r="L228" s="743"/>
      <c r="M228" s="746"/>
      <c r="N228" s="757" t="s">
        <v>1447</v>
      </c>
      <c r="O228" s="746"/>
      <c r="P228" s="742"/>
      <c r="Q228" s="742"/>
    </row>
    <row r="229" spans="1:18" x14ac:dyDescent="0.2">
      <c r="A229" s="747"/>
      <c r="B229" s="16"/>
      <c r="C229" s="270"/>
      <c r="D229" s="6"/>
      <c r="E229" s="6"/>
      <c r="F229" s="742"/>
      <c r="G229" s="744"/>
      <c r="H229" s="742"/>
      <c r="I229" s="742"/>
      <c r="J229" s="743"/>
      <c r="K229" s="746"/>
      <c r="L229" s="743"/>
      <c r="M229" s="746"/>
      <c r="N229" s="757"/>
      <c r="O229" s="746"/>
      <c r="P229" s="742"/>
      <c r="Q229" s="742"/>
    </row>
    <row r="230" spans="1:18" x14ac:dyDescent="0.2">
      <c r="A230" s="747"/>
      <c r="B230" s="16"/>
      <c r="C230" s="457"/>
      <c r="D230" s="6"/>
      <c r="E230" s="6"/>
      <c r="F230" s="742"/>
      <c r="G230" s="744"/>
      <c r="H230" s="742"/>
      <c r="I230" s="742"/>
      <c r="J230" s="743"/>
      <c r="K230" s="746"/>
      <c r="L230" s="743"/>
      <c r="M230" s="746"/>
      <c r="N230" s="757"/>
      <c r="O230" s="746"/>
      <c r="P230" s="742"/>
      <c r="Q230" s="742"/>
    </row>
    <row r="231" spans="1:18" x14ac:dyDescent="0.2">
      <c r="A231" s="747" t="s">
        <v>1240</v>
      </c>
      <c r="B231" s="16"/>
      <c r="C231" s="169" t="s">
        <v>1482</v>
      </c>
      <c r="D231" s="6"/>
      <c r="E231" s="6"/>
      <c r="F231" s="742"/>
      <c r="G231" s="744"/>
      <c r="H231" s="742"/>
      <c r="I231" s="742"/>
      <c r="J231" s="743" t="s">
        <v>313</v>
      </c>
      <c r="K231" s="746"/>
      <c r="L231" s="743"/>
      <c r="M231" s="746"/>
      <c r="N231" s="757">
        <v>788891504</v>
      </c>
      <c r="O231" s="746"/>
      <c r="P231" s="742"/>
      <c r="Q231" s="742"/>
    </row>
    <row r="232" spans="1:18" x14ac:dyDescent="0.2">
      <c r="A232" s="747"/>
      <c r="B232" s="16"/>
      <c r="C232" s="270"/>
      <c r="D232" s="6"/>
      <c r="E232" s="6"/>
      <c r="F232" s="742"/>
      <c r="G232" s="744"/>
      <c r="H232" s="742"/>
      <c r="I232" s="742"/>
      <c r="J232" s="743"/>
      <c r="K232" s="746"/>
      <c r="L232" s="743"/>
      <c r="M232" s="746"/>
      <c r="N232" s="757"/>
      <c r="O232" s="746"/>
      <c r="P232" s="742"/>
      <c r="Q232" s="742"/>
    </row>
    <row r="233" spans="1:18" x14ac:dyDescent="0.2">
      <c r="A233" s="747"/>
      <c r="B233" s="16"/>
      <c r="C233" s="457"/>
      <c r="D233" s="6"/>
      <c r="E233" s="6"/>
      <c r="F233" s="742"/>
      <c r="G233" s="744"/>
      <c r="H233" s="742"/>
      <c r="I233" s="742"/>
      <c r="J233" s="743"/>
      <c r="K233" s="746"/>
      <c r="L233" s="743"/>
      <c r="M233" s="746"/>
      <c r="N233" s="757"/>
      <c r="O233" s="746"/>
      <c r="P233" s="742"/>
      <c r="Q233" s="742"/>
    </row>
    <row r="234" spans="1:18" ht="17" x14ac:dyDescent="0.2">
      <c r="A234" s="354" t="s">
        <v>1333</v>
      </c>
      <c r="B234" s="16"/>
      <c r="C234" s="6"/>
      <c r="D234" s="562" t="s">
        <v>1943</v>
      </c>
      <c r="E234" s="6"/>
      <c r="F234" s="12" t="s">
        <v>1705</v>
      </c>
      <c r="G234" s="16" t="s">
        <v>798</v>
      </c>
      <c r="H234" s="6"/>
      <c r="I234" s="6"/>
      <c r="J234" s="6"/>
      <c r="K234" s="16"/>
      <c r="L234" s="16"/>
      <c r="M234" s="16"/>
      <c r="N234" s="12">
        <v>544137172</v>
      </c>
      <c r="O234" s="16" t="s">
        <v>598</v>
      </c>
      <c r="P234" s="16"/>
      <c r="Q234" s="16"/>
    </row>
    <row r="235" spans="1:18" x14ac:dyDescent="0.2">
      <c r="A235" s="20"/>
      <c r="B235" s="130"/>
      <c r="C235" s="339"/>
      <c r="D235" s="14"/>
      <c r="E235" s="14"/>
      <c r="F235" s="14"/>
      <c r="G235" s="14"/>
      <c r="H235" s="14"/>
      <c r="I235" s="14"/>
      <c r="J235" s="126"/>
      <c r="N235" s="124"/>
    </row>
    <row r="236" spans="1:18" x14ac:dyDescent="0.2">
      <c r="A236" s="20"/>
      <c r="B236" s="130"/>
      <c r="C236" s="339"/>
      <c r="D236" s="14"/>
      <c r="E236" s="14"/>
      <c r="F236" s="14"/>
      <c r="G236" s="14"/>
      <c r="H236" s="14"/>
      <c r="I236" s="14"/>
      <c r="J236" s="126"/>
      <c r="N236" s="124"/>
    </row>
    <row r="237" spans="1:18" s="14" customFormat="1" ht="41" customHeight="1" x14ac:dyDescent="0.2">
      <c r="A237" s="456" t="s">
        <v>1665</v>
      </c>
      <c r="B237" s="170"/>
      <c r="C237" s="257"/>
      <c r="D237" s="257"/>
      <c r="E237" s="257"/>
      <c r="F237" s="170" t="s">
        <v>1706</v>
      </c>
      <c r="G237" s="257" t="s">
        <v>1656</v>
      </c>
      <c r="H237" s="257"/>
      <c r="I237" s="257"/>
      <c r="J237" s="455" t="s">
        <v>1664</v>
      </c>
      <c r="K237" s="257"/>
      <c r="L237" s="257">
        <v>34</v>
      </c>
      <c r="M237" s="257"/>
      <c r="N237" s="257">
        <v>542082568</v>
      </c>
      <c r="O237" s="257"/>
      <c r="P237" s="257"/>
      <c r="Q237" s="257"/>
      <c r="R237" s="148"/>
    </row>
    <row r="238" spans="1:18" ht="34" x14ac:dyDescent="0.2">
      <c r="A238" s="17" t="s">
        <v>1657</v>
      </c>
      <c r="B238" s="12"/>
      <c r="C238" s="50" t="s">
        <v>218</v>
      </c>
      <c r="D238" s="562" t="s">
        <v>1944</v>
      </c>
      <c r="E238" s="50"/>
      <c r="F238" s="170" t="s">
        <v>1707</v>
      </c>
      <c r="G238" s="50" t="s">
        <v>802</v>
      </c>
      <c r="H238" s="50"/>
      <c r="I238" s="50"/>
      <c r="J238" s="460" t="s">
        <v>1664</v>
      </c>
      <c r="K238" s="50"/>
      <c r="L238" s="50">
        <v>30</v>
      </c>
      <c r="M238" s="50"/>
      <c r="N238" s="50">
        <v>544137183</v>
      </c>
      <c r="O238" s="50" t="s">
        <v>1493</v>
      </c>
      <c r="P238" s="50"/>
      <c r="Q238" s="50"/>
    </row>
    <row r="239" spans="1:18" ht="34" x14ac:dyDescent="0.2">
      <c r="A239" s="17" t="s">
        <v>1674</v>
      </c>
      <c r="B239" s="12"/>
      <c r="C239" s="50" t="s">
        <v>1667</v>
      </c>
      <c r="D239" s="458" t="s">
        <v>1945</v>
      </c>
      <c r="E239" s="50"/>
      <c r="F239" s="50"/>
      <c r="G239" s="50"/>
      <c r="H239" s="50"/>
      <c r="I239" s="50"/>
      <c r="J239" s="460" t="s">
        <v>1664</v>
      </c>
      <c r="K239" s="50"/>
      <c r="L239" s="50"/>
      <c r="M239" s="50"/>
      <c r="N239" s="50">
        <v>544142653</v>
      </c>
      <c r="O239" s="50" t="s">
        <v>697</v>
      </c>
      <c r="P239" s="50"/>
      <c r="Q239" s="50"/>
    </row>
    <row r="240" spans="1:18" ht="34" x14ac:dyDescent="0.2">
      <c r="A240" s="17" t="s">
        <v>1673</v>
      </c>
      <c r="B240" s="12"/>
      <c r="C240" s="50" t="s">
        <v>1675</v>
      </c>
      <c r="D240" s="458" t="s">
        <v>1946</v>
      </c>
      <c r="E240" s="50"/>
      <c r="F240" s="50"/>
      <c r="G240" s="50"/>
      <c r="H240" s="50"/>
      <c r="I240" s="50"/>
      <c r="J240" s="460" t="s">
        <v>1664</v>
      </c>
      <c r="K240" s="50"/>
      <c r="L240" s="50"/>
      <c r="M240" s="50"/>
      <c r="N240" s="50">
        <v>544142794</v>
      </c>
      <c r="O240" s="50" t="s">
        <v>697</v>
      </c>
      <c r="P240" s="50"/>
      <c r="Q240" s="50"/>
    </row>
    <row r="241" spans="1:18" ht="15.75" customHeight="1" x14ac:dyDescent="0.2">
      <c r="A241" s="751" t="s">
        <v>517</v>
      </c>
      <c r="B241" s="740"/>
      <c r="C241" s="737"/>
      <c r="D241" s="737"/>
      <c r="E241" s="737"/>
      <c r="F241" s="745"/>
      <c r="G241" s="745"/>
      <c r="H241" s="745"/>
      <c r="I241" s="745"/>
      <c r="J241" s="743" t="s">
        <v>313</v>
      </c>
      <c r="K241" s="737"/>
      <c r="L241" s="737"/>
      <c r="M241" s="737"/>
      <c r="N241" s="737"/>
      <c r="O241" s="737"/>
      <c r="P241" s="737"/>
      <c r="Q241" s="737"/>
    </row>
    <row r="242" spans="1:18" x14ac:dyDescent="0.2">
      <c r="A242" s="747"/>
      <c r="B242" s="740"/>
      <c r="C242" s="737"/>
      <c r="D242" s="737"/>
      <c r="E242" s="737"/>
      <c r="F242" s="742"/>
      <c r="G242" s="742"/>
      <c r="H242" s="742"/>
      <c r="I242" s="742"/>
      <c r="J242" s="743"/>
      <c r="K242" s="737"/>
      <c r="L242" s="737"/>
      <c r="M242" s="737"/>
      <c r="N242" s="737"/>
      <c r="O242" s="737"/>
      <c r="P242" s="737"/>
      <c r="Q242" s="737"/>
    </row>
    <row r="243" spans="1:18" x14ac:dyDescent="0.2">
      <c r="A243" s="747"/>
      <c r="B243" s="741"/>
      <c r="C243" s="738"/>
      <c r="D243" s="738"/>
      <c r="E243" s="738"/>
      <c r="F243" s="742"/>
      <c r="G243" s="742"/>
      <c r="H243" s="742"/>
      <c r="I243" s="742"/>
      <c r="J243" s="743"/>
      <c r="K243" s="738"/>
      <c r="L243" s="738"/>
      <c r="M243" s="738"/>
      <c r="N243" s="738"/>
      <c r="O243" s="738"/>
      <c r="P243" s="738"/>
      <c r="Q243" s="738"/>
    </row>
    <row r="244" spans="1:18" ht="34" x14ac:dyDescent="0.2">
      <c r="A244" s="17" t="s">
        <v>1659</v>
      </c>
      <c r="B244" s="12"/>
      <c r="C244" s="50" t="s">
        <v>220</v>
      </c>
      <c r="D244" s="458" t="s">
        <v>1948</v>
      </c>
      <c r="E244" s="50"/>
      <c r="F244" s="170" t="s">
        <v>1708</v>
      </c>
      <c r="G244" s="50" t="s">
        <v>803</v>
      </c>
      <c r="H244" s="50"/>
      <c r="I244" s="50"/>
      <c r="J244" s="460" t="s">
        <v>1664</v>
      </c>
      <c r="K244" s="50"/>
      <c r="L244" s="50">
        <v>29</v>
      </c>
      <c r="M244" s="50"/>
      <c r="N244" s="50">
        <v>544137184</v>
      </c>
      <c r="O244" s="50" t="s">
        <v>598</v>
      </c>
      <c r="P244" s="50"/>
      <c r="Q244" s="50"/>
    </row>
    <row r="245" spans="1:18" ht="34" x14ac:dyDescent="0.2">
      <c r="A245" s="17" t="s">
        <v>1658</v>
      </c>
      <c r="B245" s="12"/>
      <c r="C245" s="50"/>
      <c r="D245" s="458" t="s">
        <v>1949</v>
      </c>
      <c r="E245" s="50"/>
      <c r="F245" s="170" t="s">
        <v>1709</v>
      </c>
      <c r="G245" s="50" t="s">
        <v>804</v>
      </c>
      <c r="H245" s="50"/>
      <c r="I245" s="50"/>
      <c r="J245" s="460" t="s">
        <v>1664</v>
      </c>
      <c r="K245" s="50"/>
      <c r="L245" s="50">
        <v>31</v>
      </c>
      <c r="M245" s="50"/>
      <c r="N245" s="50">
        <v>544137185</v>
      </c>
      <c r="O245" s="50"/>
      <c r="P245" s="50"/>
      <c r="Q245" s="50"/>
    </row>
    <row r="246" spans="1:18" ht="34" x14ac:dyDescent="0.2">
      <c r="A246" s="17" t="s">
        <v>1680</v>
      </c>
      <c r="B246" s="170"/>
      <c r="C246" s="257"/>
      <c r="D246" s="459" t="s">
        <v>1947</v>
      </c>
      <c r="E246" s="257"/>
      <c r="F246" s="458"/>
      <c r="G246" s="458" t="s">
        <v>1714</v>
      </c>
      <c r="H246" s="458"/>
      <c r="I246" s="458"/>
      <c r="J246" s="459"/>
      <c r="K246" s="459"/>
      <c r="L246" s="459"/>
      <c r="M246" s="257"/>
      <c r="N246" s="257">
        <v>544137643</v>
      </c>
      <c r="O246" s="257" t="s">
        <v>697</v>
      </c>
      <c r="P246" s="257"/>
      <c r="Q246" s="257"/>
      <c r="R246" s="148" t="s">
        <v>49</v>
      </c>
    </row>
    <row r="247" spans="1:18" ht="15.75" customHeight="1" x14ac:dyDescent="0.2">
      <c r="A247" s="751" t="s">
        <v>1649</v>
      </c>
      <c r="B247" s="739"/>
      <c r="C247" s="736"/>
      <c r="D247" s="736"/>
      <c r="E247" s="736"/>
      <c r="F247" s="742"/>
      <c r="G247" s="742"/>
      <c r="H247" s="742"/>
      <c r="I247" s="742"/>
      <c r="J247" s="743" t="s">
        <v>313</v>
      </c>
      <c r="K247" s="736"/>
      <c r="L247" s="736"/>
      <c r="M247" s="736"/>
      <c r="N247" s="736"/>
      <c r="O247" s="736"/>
      <c r="P247" s="736"/>
      <c r="Q247" s="736"/>
    </row>
    <row r="248" spans="1:18" x14ac:dyDescent="0.2">
      <c r="A248" s="747"/>
      <c r="B248" s="740"/>
      <c r="C248" s="737"/>
      <c r="D248" s="737"/>
      <c r="E248" s="737"/>
      <c r="F248" s="742"/>
      <c r="G248" s="742"/>
      <c r="H248" s="742"/>
      <c r="I248" s="742"/>
      <c r="J248" s="743"/>
      <c r="K248" s="737"/>
      <c r="L248" s="737"/>
      <c r="M248" s="737"/>
      <c r="N248" s="737"/>
      <c r="O248" s="737"/>
      <c r="P248" s="737"/>
      <c r="Q248" s="737"/>
    </row>
    <row r="249" spans="1:18" x14ac:dyDescent="0.2">
      <c r="A249" s="747"/>
      <c r="B249" s="741"/>
      <c r="C249" s="738"/>
      <c r="D249" s="738"/>
      <c r="E249" s="738"/>
      <c r="F249" s="742"/>
      <c r="G249" s="742"/>
      <c r="H249" s="742"/>
      <c r="I249" s="742"/>
      <c r="J249" s="743"/>
      <c r="K249" s="738"/>
      <c r="L249" s="738"/>
      <c r="M249" s="738"/>
      <c r="N249" s="738"/>
      <c r="O249" s="738"/>
      <c r="P249" s="738"/>
      <c r="Q249" s="738"/>
    </row>
    <row r="250" spans="1:18" ht="34" x14ac:dyDescent="0.2">
      <c r="A250" s="17" t="s">
        <v>1661</v>
      </c>
      <c r="B250" s="12"/>
      <c r="C250" s="50"/>
      <c r="D250" s="458" t="s">
        <v>1950</v>
      </c>
      <c r="E250" s="50"/>
      <c r="F250" s="170" t="s">
        <v>1710</v>
      </c>
      <c r="G250" s="50" t="s">
        <v>805</v>
      </c>
      <c r="H250" s="50"/>
      <c r="I250" s="50"/>
      <c r="J250" s="460" t="s">
        <v>1664</v>
      </c>
      <c r="K250" s="50"/>
      <c r="L250" s="50">
        <v>27</v>
      </c>
      <c r="M250" s="50"/>
      <c r="N250" s="50">
        <v>544137173</v>
      </c>
      <c r="O250" s="14" t="s">
        <v>598</v>
      </c>
      <c r="P250" s="50"/>
      <c r="Q250" s="50"/>
    </row>
    <row r="251" spans="1:18" ht="34" x14ac:dyDescent="0.2">
      <c r="A251" s="17" t="s">
        <v>1660</v>
      </c>
      <c r="B251" s="12"/>
      <c r="C251" s="50"/>
      <c r="D251" s="458" t="s">
        <v>1951</v>
      </c>
      <c r="E251" s="50"/>
      <c r="F251" s="50" t="s">
        <v>1711</v>
      </c>
      <c r="G251" s="50" t="s">
        <v>806</v>
      </c>
      <c r="H251" s="50"/>
      <c r="I251" s="50"/>
      <c r="J251" s="460" t="s">
        <v>1664</v>
      </c>
      <c r="K251" s="50"/>
      <c r="L251" s="50">
        <v>32</v>
      </c>
      <c r="M251" s="50"/>
      <c r="N251" s="50">
        <v>544137182</v>
      </c>
      <c r="O251" s="50" t="s">
        <v>598</v>
      </c>
      <c r="P251" s="50"/>
      <c r="Q251" s="50"/>
    </row>
    <row r="252" spans="1:18" ht="42" customHeight="1" x14ac:dyDescent="0.2">
      <c r="A252" s="483" t="s">
        <v>1529</v>
      </c>
      <c r="B252" s="170"/>
      <c r="C252" s="257"/>
      <c r="D252" s="257"/>
      <c r="E252" s="257"/>
      <c r="F252" s="207"/>
      <c r="G252" s="207"/>
      <c r="H252" s="207"/>
      <c r="I252" s="207"/>
      <c r="J252" s="484" t="s">
        <v>313</v>
      </c>
      <c r="K252" s="257"/>
      <c r="L252" s="257"/>
      <c r="M252" s="257"/>
      <c r="N252" s="257" t="s">
        <v>1688</v>
      </c>
      <c r="O252" s="257"/>
      <c r="P252" s="257"/>
      <c r="Q252" s="257"/>
    </row>
    <row r="253" spans="1:18" ht="15.75" customHeight="1" x14ac:dyDescent="0.2">
      <c r="A253" s="747" t="s">
        <v>1650</v>
      </c>
      <c r="B253" s="739"/>
      <c r="C253" s="736"/>
      <c r="D253" s="736"/>
      <c r="E253" s="736"/>
      <c r="F253" s="742"/>
      <c r="G253" s="742"/>
      <c r="H253" s="742"/>
      <c r="I253" s="742"/>
      <c r="J253" s="743" t="s">
        <v>313</v>
      </c>
      <c r="K253" s="736"/>
      <c r="L253" s="736"/>
      <c r="M253" s="736"/>
      <c r="N253" s="736"/>
      <c r="O253" s="736"/>
      <c r="P253" s="736"/>
      <c r="Q253" s="736"/>
    </row>
    <row r="254" spans="1:18" x14ac:dyDescent="0.2">
      <c r="A254" s="747"/>
      <c r="B254" s="740"/>
      <c r="C254" s="737"/>
      <c r="D254" s="737"/>
      <c r="E254" s="737"/>
      <c r="F254" s="742"/>
      <c r="G254" s="742"/>
      <c r="H254" s="742"/>
      <c r="I254" s="742"/>
      <c r="J254" s="743"/>
      <c r="K254" s="737"/>
      <c r="L254" s="737"/>
      <c r="M254" s="737"/>
      <c r="N254" s="737"/>
      <c r="O254" s="737"/>
      <c r="P254" s="737"/>
      <c r="Q254" s="737"/>
    </row>
    <row r="255" spans="1:18" x14ac:dyDescent="0.2">
      <c r="A255" s="747"/>
      <c r="B255" s="741"/>
      <c r="C255" s="738"/>
      <c r="D255" s="738"/>
      <c r="E255" s="738"/>
      <c r="F255" s="742"/>
      <c r="G255" s="742"/>
      <c r="H255" s="742"/>
      <c r="I255" s="742"/>
      <c r="J255" s="743"/>
      <c r="K255" s="738"/>
      <c r="L255" s="738"/>
      <c r="M255" s="738"/>
      <c r="N255" s="738"/>
      <c r="O255" s="738"/>
      <c r="P255" s="738"/>
      <c r="Q255" s="738"/>
    </row>
    <row r="256" spans="1:18" ht="34" x14ac:dyDescent="0.2">
      <c r="A256" s="17" t="s">
        <v>1662</v>
      </c>
      <c r="B256" s="12"/>
      <c r="C256" s="50"/>
      <c r="D256" s="458" t="s">
        <v>1952</v>
      </c>
      <c r="E256" s="50"/>
      <c r="F256" s="50" t="s">
        <v>1712</v>
      </c>
      <c r="G256" s="50" t="s">
        <v>807</v>
      </c>
      <c r="H256" s="50"/>
      <c r="I256" s="50"/>
      <c r="J256" s="460" t="s">
        <v>1664</v>
      </c>
      <c r="K256" s="50"/>
      <c r="L256" s="50">
        <v>28</v>
      </c>
      <c r="M256" s="50"/>
      <c r="N256" s="50">
        <v>544137181</v>
      </c>
      <c r="O256" s="50" t="s">
        <v>598</v>
      </c>
      <c r="P256" s="50"/>
      <c r="Q256" s="50"/>
    </row>
    <row r="257" spans="1:18" ht="34" x14ac:dyDescent="0.2">
      <c r="A257" s="17" t="s">
        <v>1663</v>
      </c>
      <c r="B257" s="12"/>
      <c r="C257" s="50"/>
      <c r="D257" s="458" t="s">
        <v>1953</v>
      </c>
      <c r="E257" s="50"/>
      <c r="F257" s="50" t="s">
        <v>1713</v>
      </c>
      <c r="G257" s="50" t="s">
        <v>808</v>
      </c>
      <c r="H257" s="50"/>
      <c r="I257" s="50"/>
      <c r="J257" s="460" t="s">
        <v>1664</v>
      </c>
      <c r="K257" s="50"/>
      <c r="L257" s="50">
        <v>26</v>
      </c>
      <c r="M257" s="50"/>
      <c r="N257" s="50">
        <v>544137168</v>
      </c>
      <c r="O257" s="50" t="s">
        <v>598</v>
      </c>
      <c r="P257" s="50"/>
      <c r="Q257" s="50"/>
    </row>
    <row r="258" spans="1:18" ht="16" customHeight="1" x14ac:dyDescent="0.2">
      <c r="A258" s="747" t="s">
        <v>1651</v>
      </c>
      <c r="B258" s="739"/>
      <c r="C258" s="752" t="s">
        <v>1670</v>
      </c>
      <c r="D258" s="736"/>
      <c r="E258" s="736"/>
      <c r="F258" s="742"/>
      <c r="G258" s="742"/>
      <c r="H258" s="742"/>
      <c r="I258" s="742"/>
      <c r="J258" s="743" t="s">
        <v>313</v>
      </c>
      <c r="K258" s="736"/>
      <c r="L258" s="736"/>
      <c r="M258" s="736"/>
      <c r="N258" s="736"/>
      <c r="O258" s="736"/>
      <c r="P258" s="736"/>
      <c r="Q258" s="736"/>
    </row>
    <row r="259" spans="1:18" x14ac:dyDescent="0.2">
      <c r="A259" s="747"/>
      <c r="B259" s="740"/>
      <c r="C259" s="753"/>
      <c r="D259" s="737"/>
      <c r="E259" s="737"/>
      <c r="F259" s="742"/>
      <c r="G259" s="742"/>
      <c r="H259" s="742"/>
      <c r="I259" s="742"/>
      <c r="J259" s="743"/>
      <c r="K259" s="737"/>
      <c r="L259" s="737"/>
      <c r="M259" s="737"/>
      <c r="N259" s="737"/>
      <c r="O259" s="737"/>
      <c r="P259" s="737"/>
      <c r="Q259" s="737"/>
    </row>
    <row r="260" spans="1:18" x14ac:dyDescent="0.2">
      <c r="A260" s="747"/>
      <c r="B260" s="741"/>
      <c r="C260" s="754"/>
      <c r="D260" s="738"/>
      <c r="E260" s="738"/>
      <c r="F260" s="742"/>
      <c r="G260" s="742"/>
      <c r="H260" s="742"/>
      <c r="I260" s="742"/>
      <c r="J260" s="743"/>
      <c r="K260" s="738"/>
      <c r="L260" s="738"/>
      <c r="M260" s="738"/>
      <c r="N260" s="738"/>
      <c r="O260" s="738"/>
      <c r="P260" s="738"/>
      <c r="Q260" s="738"/>
    </row>
    <row r="261" spans="1:18" ht="16" customHeight="1" x14ac:dyDescent="0.2">
      <c r="A261" s="747" t="s">
        <v>1243</v>
      </c>
      <c r="B261" s="739"/>
      <c r="C261" s="736" t="s">
        <v>1286</v>
      </c>
      <c r="D261" s="736"/>
      <c r="E261" s="736"/>
      <c r="F261" s="742"/>
      <c r="G261" s="742"/>
      <c r="H261" s="742"/>
      <c r="I261" s="742"/>
      <c r="J261" s="743" t="s">
        <v>313</v>
      </c>
      <c r="K261" s="736"/>
      <c r="L261" s="736"/>
      <c r="M261" s="736"/>
      <c r="N261" s="736"/>
      <c r="O261" s="736"/>
      <c r="P261" s="736"/>
      <c r="Q261" s="736"/>
    </row>
    <row r="262" spans="1:18" x14ac:dyDescent="0.2">
      <c r="A262" s="747"/>
      <c r="B262" s="740"/>
      <c r="C262" s="737"/>
      <c r="D262" s="737"/>
      <c r="E262" s="737"/>
      <c r="F262" s="742"/>
      <c r="G262" s="742"/>
      <c r="H262" s="742"/>
      <c r="I262" s="742"/>
      <c r="J262" s="743"/>
      <c r="K262" s="737"/>
      <c r="L262" s="737"/>
      <c r="M262" s="737"/>
      <c r="N262" s="737"/>
      <c r="O262" s="737"/>
      <c r="P262" s="737"/>
      <c r="Q262" s="737"/>
    </row>
    <row r="263" spans="1:18" x14ac:dyDescent="0.2">
      <c r="A263" s="747"/>
      <c r="B263" s="741"/>
      <c r="C263" s="738"/>
      <c r="D263" s="738"/>
      <c r="E263" s="738"/>
      <c r="F263" s="742"/>
      <c r="G263" s="742"/>
      <c r="H263" s="742"/>
      <c r="I263" s="742"/>
      <c r="J263" s="743"/>
      <c r="K263" s="738"/>
      <c r="L263" s="738"/>
      <c r="M263" s="738"/>
      <c r="N263" s="738"/>
      <c r="O263" s="738"/>
      <c r="P263" s="738"/>
      <c r="Q263" s="738"/>
    </row>
    <row r="264" spans="1:18" ht="16" customHeight="1" x14ac:dyDescent="0.2">
      <c r="A264" s="747" t="s">
        <v>1242</v>
      </c>
      <c r="B264" s="739"/>
      <c r="C264" s="736"/>
      <c r="D264" s="736"/>
      <c r="E264" s="736"/>
      <c r="F264" s="742"/>
      <c r="G264" s="742"/>
      <c r="H264" s="742"/>
      <c r="I264" s="742"/>
      <c r="J264" s="743" t="s">
        <v>313</v>
      </c>
      <c r="K264" s="736"/>
      <c r="L264" s="736"/>
      <c r="M264" s="736"/>
      <c r="N264" s="736"/>
      <c r="O264" s="736"/>
      <c r="P264" s="736"/>
      <c r="Q264" s="736"/>
    </row>
    <row r="265" spans="1:18" x14ac:dyDescent="0.2">
      <c r="A265" s="747"/>
      <c r="B265" s="740"/>
      <c r="C265" s="737"/>
      <c r="D265" s="737"/>
      <c r="E265" s="737"/>
      <c r="F265" s="742"/>
      <c r="G265" s="742"/>
      <c r="H265" s="742"/>
      <c r="I265" s="742"/>
      <c r="J265" s="743"/>
      <c r="K265" s="737"/>
      <c r="L265" s="737"/>
      <c r="M265" s="737"/>
      <c r="N265" s="737"/>
      <c r="O265" s="737"/>
      <c r="P265" s="737"/>
      <c r="Q265" s="737"/>
    </row>
    <row r="266" spans="1:18" x14ac:dyDescent="0.2">
      <c r="A266" s="747"/>
      <c r="B266" s="741"/>
      <c r="C266" s="738"/>
      <c r="D266" s="738"/>
      <c r="E266" s="738"/>
      <c r="F266" s="742"/>
      <c r="G266" s="742"/>
      <c r="H266" s="742"/>
      <c r="I266" s="742"/>
      <c r="J266" s="743"/>
      <c r="K266" s="738"/>
      <c r="L266" s="738"/>
      <c r="M266" s="738"/>
      <c r="N266" s="738"/>
      <c r="O266" s="738"/>
      <c r="P266" s="738"/>
      <c r="Q266" s="738"/>
    </row>
    <row r="267" spans="1:18" ht="39.5" customHeight="1" x14ac:dyDescent="0.2">
      <c r="A267" s="27" t="s">
        <v>1241</v>
      </c>
      <c r="B267" s="53"/>
      <c r="C267" s="83"/>
      <c r="D267" s="83"/>
      <c r="E267" s="83"/>
      <c r="F267" s="205"/>
      <c r="G267" s="205"/>
      <c r="H267" s="205"/>
      <c r="I267" s="205"/>
      <c r="J267" s="484" t="s">
        <v>313</v>
      </c>
      <c r="K267" s="83"/>
      <c r="L267" s="83"/>
      <c r="M267" s="83"/>
      <c r="N267" s="83"/>
      <c r="O267" s="83"/>
      <c r="P267" s="83"/>
      <c r="Q267" s="83"/>
    </row>
    <row r="269" spans="1:18" s="14" customFormat="1" ht="44" customHeight="1" x14ac:dyDescent="0.2">
      <c r="A269" s="456" t="s">
        <v>1735</v>
      </c>
      <c r="B269" s="16"/>
      <c r="C269" s="12" t="s">
        <v>1795</v>
      </c>
      <c r="D269" s="16"/>
      <c r="E269" s="16"/>
      <c r="F269" s="12" t="s">
        <v>1800</v>
      </c>
      <c r="G269" s="12" t="s">
        <v>1797</v>
      </c>
      <c r="H269" s="16"/>
      <c r="I269" s="16"/>
      <c r="J269" s="460" t="s">
        <v>1664</v>
      </c>
      <c r="K269" s="50"/>
      <c r="L269" s="50">
        <v>35</v>
      </c>
      <c r="M269" s="16"/>
      <c r="N269" s="12">
        <v>542082675</v>
      </c>
      <c r="O269" s="12" t="s">
        <v>597</v>
      </c>
      <c r="P269" s="16"/>
      <c r="Q269" s="16"/>
      <c r="R269" s="148"/>
    </row>
    <row r="270" spans="1:18" ht="49" customHeight="1" x14ac:dyDescent="0.2">
      <c r="A270" s="27" t="s">
        <v>1794</v>
      </c>
      <c r="B270" s="16"/>
      <c r="C270" s="12" t="s">
        <v>1796</v>
      </c>
      <c r="D270" s="6"/>
      <c r="E270" s="6"/>
      <c r="F270" s="6"/>
      <c r="G270" s="6"/>
      <c r="H270" s="6"/>
      <c r="I270" s="6"/>
      <c r="J270" s="51" t="s">
        <v>313</v>
      </c>
      <c r="K270" s="50"/>
      <c r="L270" s="83"/>
      <c r="M270" s="16"/>
      <c r="N270" s="50" t="s">
        <v>1802</v>
      </c>
      <c r="O270" s="16"/>
      <c r="P270" s="16"/>
      <c r="Q270" s="16"/>
    </row>
    <row r="272" spans="1:18" x14ac:dyDescent="0.2">
      <c r="A272" s="769" t="s">
        <v>1323</v>
      </c>
      <c r="B272" s="755" t="s">
        <v>114</v>
      </c>
      <c r="C272" s="756" t="s">
        <v>673</v>
      </c>
      <c r="D272" s="746"/>
      <c r="E272" s="746"/>
      <c r="F272" s="778"/>
      <c r="G272" s="755" t="s">
        <v>1170</v>
      </c>
      <c r="H272" s="746"/>
      <c r="I272" s="746"/>
      <c r="J272" s="775" t="s">
        <v>1155</v>
      </c>
      <c r="K272" s="746"/>
      <c r="L272" s="746"/>
      <c r="M272" s="746"/>
      <c r="N272" s="755"/>
      <c r="O272" s="746"/>
      <c r="P272" s="746"/>
      <c r="Q272" s="746"/>
    </row>
    <row r="273" spans="1:17" x14ac:dyDescent="0.2">
      <c r="A273" s="769"/>
      <c r="B273" s="755"/>
      <c r="C273" s="756"/>
      <c r="D273" s="746"/>
      <c r="E273" s="746"/>
      <c r="F273" s="779"/>
      <c r="G273" s="755"/>
      <c r="H273" s="746"/>
      <c r="I273" s="746"/>
      <c r="J273" s="776"/>
      <c r="K273" s="746"/>
      <c r="L273" s="746"/>
      <c r="M273" s="746"/>
      <c r="N273" s="755"/>
      <c r="O273" s="746"/>
      <c r="P273" s="746"/>
      <c r="Q273" s="746"/>
    </row>
    <row r="274" spans="1:17" x14ac:dyDescent="0.2">
      <c r="A274" s="769"/>
      <c r="B274" s="755"/>
      <c r="C274" s="756"/>
      <c r="D274" s="746"/>
      <c r="E274" s="746"/>
      <c r="F274" s="780"/>
      <c r="G274" s="755"/>
      <c r="H274" s="746"/>
      <c r="I274" s="746"/>
      <c r="J274" s="777"/>
      <c r="K274" s="746"/>
      <c r="L274" s="746"/>
      <c r="M274" s="746"/>
      <c r="N274" s="755"/>
      <c r="O274" s="746"/>
      <c r="P274" s="746"/>
      <c r="Q274" s="746"/>
    </row>
    <row r="275" spans="1:17" ht="17" x14ac:dyDescent="0.2">
      <c r="A275" s="354" t="s">
        <v>1153</v>
      </c>
      <c r="B275" s="12"/>
      <c r="C275" s="353"/>
      <c r="D275" s="563" t="s">
        <v>1954</v>
      </c>
      <c r="E275" s="16"/>
      <c r="F275" s="218"/>
      <c r="G275" s="12" t="s">
        <v>814</v>
      </c>
      <c r="H275" s="16"/>
      <c r="I275" s="16"/>
      <c r="J275" s="372" t="s">
        <v>1155</v>
      </c>
      <c r="K275" s="16"/>
      <c r="L275" s="219">
        <v>2</v>
      </c>
      <c r="M275" s="16"/>
      <c r="N275" s="12">
        <v>544142907</v>
      </c>
      <c r="O275" s="16" t="s">
        <v>697</v>
      </c>
      <c r="P275" s="16"/>
      <c r="Q275" s="16"/>
    </row>
    <row r="276" spans="1:17" x14ac:dyDescent="0.2">
      <c r="A276" s="774" t="s">
        <v>643</v>
      </c>
      <c r="B276" s="755" t="s">
        <v>967</v>
      </c>
      <c r="C276" s="756" t="s">
        <v>674</v>
      </c>
      <c r="D276" s="746"/>
      <c r="E276" s="746"/>
      <c r="F276" s="742"/>
      <c r="G276" s="742"/>
      <c r="H276" s="742"/>
      <c r="I276" s="742"/>
      <c r="J276" s="770" t="s">
        <v>313</v>
      </c>
      <c r="K276" s="746"/>
      <c r="L276" s="746"/>
      <c r="M276" s="746"/>
      <c r="N276" s="755"/>
      <c r="O276" s="746"/>
      <c r="P276" s="742"/>
      <c r="Q276" s="742"/>
    </row>
    <row r="277" spans="1:17" x14ac:dyDescent="0.2">
      <c r="A277" s="747"/>
      <c r="B277" s="755"/>
      <c r="C277" s="756"/>
      <c r="D277" s="746"/>
      <c r="E277" s="746"/>
      <c r="F277" s="742"/>
      <c r="G277" s="742"/>
      <c r="H277" s="742"/>
      <c r="I277" s="742"/>
      <c r="J277" s="771"/>
      <c r="K277" s="746"/>
      <c r="L277" s="746"/>
      <c r="M277" s="746"/>
      <c r="N277" s="755"/>
      <c r="O277" s="746"/>
      <c r="P277" s="742"/>
      <c r="Q277" s="742"/>
    </row>
    <row r="278" spans="1:17" x14ac:dyDescent="0.2">
      <c r="A278" s="747"/>
      <c r="B278" s="755"/>
      <c r="C278" s="756"/>
      <c r="D278" s="746"/>
      <c r="E278" s="746"/>
      <c r="F278" s="742"/>
      <c r="G278" s="742"/>
      <c r="H278" s="742"/>
      <c r="I278" s="742"/>
      <c r="J278" s="771"/>
      <c r="K278" s="746"/>
      <c r="L278" s="746"/>
      <c r="M278" s="746"/>
      <c r="N278" s="755"/>
      <c r="O278" s="746"/>
      <c r="P278" s="742"/>
      <c r="Q278" s="742"/>
    </row>
    <row r="279" spans="1:17" x14ac:dyDescent="0.2">
      <c r="A279" s="747" t="s">
        <v>646</v>
      </c>
      <c r="B279" s="755" t="s">
        <v>454</v>
      </c>
      <c r="C279" s="756" t="s">
        <v>675</v>
      </c>
      <c r="D279" s="746"/>
      <c r="E279" s="746"/>
      <c r="F279" s="742"/>
      <c r="G279" s="742"/>
      <c r="H279" s="742"/>
      <c r="I279" s="742"/>
      <c r="J279" s="770" t="s">
        <v>313</v>
      </c>
      <c r="K279" s="746"/>
      <c r="L279" s="746"/>
      <c r="M279" s="746"/>
      <c r="N279" s="757" t="s">
        <v>1058</v>
      </c>
      <c r="O279" s="746"/>
      <c r="P279" s="742"/>
      <c r="Q279" s="742"/>
    </row>
    <row r="280" spans="1:17" x14ac:dyDescent="0.2">
      <c r="A280" s="747"/>
      <c r="B280" s="755"/>
      <c r="C280" s="756"/>
      <c r="D280" s="746"/>
      <c r="E280" s="746"/>
      <c r="F280" s="742"/>
      <c r="G280" s="742"/>
      <c r="H280" s="742"/>
      <c r="I280" s="742"/>
      <c r="J280" s="771"/>
      <c r="K280" s="746"/>
      <c r="L280" s="746"/>
      <c r="M280" s="746"/>
      <c r="N280" s="755"/>
      <c r="O280" s="746"/>
      <c r="P280" s="742"/>
      <c r="Q280" s="742"/>
    </row>
    <row r="281" spans="1:17" x14ac:dyDescent="0.2">
      <c r="A281" s="747"/>
      <c r="B281" s="755"/>
      <c r="C281" s="756"/>
      <c r="D281" s="746"/>
      <c r="E281" s="746"/>
      <c r="F281" s="742"/>
      <c r="G281" s="742"/>
      <c r="H281" s="742"/>
      <c r="I281" s="742"/>
      <c r="J281" s="771"/>
      <c r="K281" s="746"/>
      <c r="L281" s="746"/>
      <c r="M281" s="746"/>
      <c r="N281" s="755"/>
      <c r="O281" s="746"/>
      <c r="P281" s="742"/>
      <c r="Q281" s="742"/>
    </row>
    <row r="282" spans="1:17" x14ac:dyDescent="0.2">
      <c r="A282" s="747" t="s">
        <v>650</v>
      </c>
      <c r="B282" s="755" t="s">
        <v>459</v>
      </c>
      <c r="C282" s="756" t="s">
        <v>676</v>
      </c>
      <c r="D282" s="746"/>
      <c r="E282" s="746"/>
      <c r="F282" s="742"/>
      <c r="G282" s="742"/>
      <c r="H282" s="742"/>
      <c r="I282" s="742"/>
      <c r="J282" s="770" t="s">
        <v>313</v>
      </c>
      <c r="K282" s="746"/>
      <c r="L282" s="746"/>
      <c r="M282" s="746"/>
      <c r="N282" s="755" t="s">
        <v>351</v>
      </c>
      <c r="O282" s="746"/>
      <c r="P282" s="742"/>
      <c r="Q282" s="742"/>
    </row>
    <row r="283" spans="1:17" x14ac:dyDescent="0.2">
      <c r="A283" s="747"/>
      <c r="B283" s="755"/>
      <c r="C283" s="756"/>
      <c r="D283" s="746"/>
      <c r="E283" s="746"/>
      <c r="F283" s="742"/>
      <c r="G283" s="742"/>
      <c r="H283" s="742"/>
      <c r="I283" s="742"/>
      <c r="J283" s="771"/>
      <c r="K283" s="746"/>
      <c r="L283" s="746"/>
      <c r="M283" s="746"/>
      <c r="N283" s="755"/>
      <c r="O283" s="746"/>
      <c r="P283" s="742"/>
      <c r="Q283" s="742"/>
    </row>
    <row r="284" spans="1:17" x14ac:dyDescent="0.2">
      <c r="A284" s="747"/>
      <c r="B284" s="755"/>
      <c r="C284" s="756"/>
      <c r="D284" s="746"/>
      <c r="E284" s="746"/>
      <c r="F284" s="742"/>
      <c r="G284" s="742"/>
      <c r="H284" s="742"/>
      <c r="I284" s="742"/>
      <c r="J284" s="771"/>
      <c r="K284" s="746"/>
      <c r="L284" s="746"/>
      <c r="M284" s="746"/>
      <c r="N284" s="755"/>
      <c r="O284" s="746"/>
      <c r="P284" s="742"/>
      <c r="Q284" s="742"/>
    </row>
    <row r="285" spans="1:17" x14ac:dyDescent="0.2">
      <c r="A285" s="747" t="s">
        <v>654</v>
      </c>
      <c r="B285" s="755" t="s">
        <v>454</v>
      </c>
      <c r="C285" s="756" t="s">
        <v>677</v>
      </c>
      <c r="D285" s="746"/>
      <c r="E285" s="746"/>
      <c r="F285" s="742"/>
      <c r="G285" s="742"/>
      <c r="H285" s="742"/>
      <c r="I285" s="742"/>
      <c r="J285" s="770" t="s">
        <v>313</v>
      </c>
      <c r="K285" s="746"/>
      <c r="L285" s="746"/>
      <c r="M285" s="746"/>
      <c r="N285" s="757" t="s">
        <v>1057</v>
      </c>
      <c r="O285" s="746"/>
      <c r="P285" s="742"/>
      <c r="Q285" s="742"/>
    </row>
    <row r="286" spans="1:17" x14ac:dyDescent="0.2">
      <c r="A286" s="747"/>
      <c r="B286" s="755"/>
      <c r="C286" s="756"/>
      <c r="D286" s="746"/>
      <c r="E286" s="746"/>
      <c r="F286" s="742"/>
      <c r="G286" s="742"/>
      <c r="H286" s="742"/>
      <c r="I286" s="742"/>
      <c r="J286" s="771"/>
      <c r="K286" s="746"/>
      <c r="L286" s="746"/>
      <c r="M286" s="746"/>
      <c r="N286" s="755"/>
      <c r="O286" s="746"/>
      <c r="P286" s="742"/>
      <c r="Q286" s="742"/>
    </row>
    <row r="287" spans="1:17" x14ac:dyDescent="0.2">
      <c r="A287" s="747"/>
      <c r="B287" s="755"/>
      <c r="C287" s="756"/>
      <c r="D287" s="746"/>
      <c r="E287" s="746"/>
      <c r="F287" s="742"/>
      <c r="G287" s="742"/>
      <c r="H287" s="742"/>
      <c r="I287" s="742"/>
      <c r="J287" s="771"/>
      <c r="K287" s="746"/>
      <c r="L287" s="746"/>
      <c r="M287" s="746"/>
      <c r="N287" s="755"/>
      <c r="O287" s="746"/>
      <c r="P287" s="742"/>
      <c r="Q287" s="742"/>
    </row>
    <row r="288" spans="1:17" x14ac:dyDescent="0.2">
      <c r="A288" s="747" t="s">
        <v>657</v>
      </c>
      <c r="B288" s="755" t="s">
        <v>459</v>
      </c>
      <c r="C288" s="756" t="s">
        <v>678</v>
      </c>
      <c r="D288" s="746"/>
      <c r="E288" s="746"/>
      <c r="F288" s="742"/>
      <c r="G288" s="742"/>
      <c r="H288" s="742"/>
      <c r="I288" s="742"/>
      <c r="J288" s="770" t="s">
        <v>313</v>
      </c>
      <c r="K288" s="746"/>
      <c r="L288" s="746"/>
      <c r="M288" s="746"/>
      <c r="N288" s="757" t="s">
        <v>1059</v>
      </c>
      <c r="O288" s="746"/>
      <c r="P288" s="742"/>
      <c r="Q288" s="742"/>
    </row>
    <row r="289" spans="1:17" x14ac:dyDescent="0.2">
      <c r="A289" s="747"/>
      <c r="B289" s="755"/>
      <c r="C289" s="756"/>
      <c r="D289" s="746"/>
      <c r="E289" s="746"/>
      <c r="F289" s="742"/>
      <c r="G289" s="742"/>
      <c r="H289" s="742"/>
      <c r="I289" s="742"/>
      <c r="J289" s="771"/>
      <c r="K289" s="746"/>
      <c r="L289" s="746"/>
      <c r="M289" s="746"/>
      <c r="N289" s="755"/>
      <c r="O289" s="746"/>
      <c r="P289" s="742"/>
      <c r="Q289" s="742"/>
    </row>
    <row r="290" spans="1:17" x14ac:dyDescent="0.2">
      <c r="A290" s="747"/>
      <c r="B290" s="755"/>
      <c r="C290" s="756"/>
      <c r="D290" s="746"/>
      <c r="E290" s="746"/>
      <c r="F290" s="742"/>
      <c r="G290" s="742"/>
      <c r="H290" s="742"/>
      <c r="I290" s="742"/>
      <c r="J290" s="771"/>
      <c r="K290" s="746"/>
      <c r="L290" s="746"/>
      <c r="M290" s="746"/>
      <c r="N290" s="755"/>
      <c r="O290" s="746"/>
      <c r="P290" s="742"/>
      <c r="Q290" s="742"/>
    </row>
    <row r="291" spans="1:17" x14ac:dyDescent="0.2">
      <c r="A291" s="747" t="s">
        <v>661</v>
      </c>
      <c r="B291" s="755" t="s">
        <v>454</v>
      </c>
      <c r="C291" s="756" t="s">
        <v>679</v>
      </c>
      <c r="D291" s="746"/>
      <c r="E291" s="746"/>
      <c r="F291" s="742"/>
      <c r="G291" s="742"/>
      <c r="H291" s="742"/>
      <c r="I291" s="742"/>
      <c r="J291" s="770" t="s">
        <v>313</v>
      </c>
      <c r="K291" s="746"/>
      <c r="L291" s="746"/>
      <c r="M291" s="746"/>
      <c r="N291" s="736" t="s">
        <v>952</v>
      </c>
      <c r="O291" s="746"/>
      <c r="P291" s="742"/>
      <c r="Q291" s="742"/>
    </row>
    <row r="292" spans="1:17" x14ac:dyDescent="0.2">
      <c r="A292" s="747"/>
      <c r="B292" s="755"/>
      <c r="C292" s="756"/>
      <c r="D292" s="746"/>
      <c r="E292" s="746"/>
      <c r="F292" s="742"/>
      <c r="G292" s="742"/>
      <c r="H292" s="742"/>
      <c r="I292" s="742"/>
      <c r="J292" s="771"/>
      <c r="K292" s="746"/>
      <c r="L292" s="746"/>
      <c r="M292" s="746"/>
      <c r="N292" s="737"/>
      <c r="O292" s="746"/>
      <c r="P292" s="742"/>
      <c r="Q292" s="742"/>
    </row>
    <row r="293" spans="1:17" x14ac:dyDescent="0.2">
      <c r="A293" s="747"/>
      <c r="B293" s="755"/>
      <c r="C293" s="756"/>
      <c r="D293" s="746"/>
      <c r="E293" s="746"/>
      <c r="F293" s="742"/>
      <c r="G293" s="742"/>
      <c r="H293" s="742"/>
      <c r="I293" s="742"/>
      <c r="J293" s="771"/>
      <c r="K293" s="746"/>
      <c r="L293" s="746"/>
      <c r="M293" s="746"/>
      <c r="N293" s="737"/>
      <c r="O293" s="746"/>
      <c r="P293" s="742"/>
      <c r="Q293" s="742"/>
    </row>
    <row r="294" spans="1:17" x14ac:dyDescent="0.2">
      <c r="A294" s="747" t="s">
        <v>665</v>
      </c>
      <c r="B294" s="755"/>
      <c r="C294" s="756" t="s">
        <v>680</v>
      </c>
      <c r="D294" s="746"/>
      <c r="E294" s="746"/>
      <c r="F294" s="742"/>
      <c r="G294" s="742"/>
      <c r="H294" s="742"/>
      <c r="I294" s="742"/>
      <c r="J294" s="743" t="s">
        <v>313</v>
      </c>
      <c r="K294" s="746"/>
      <c r="L294" s="746"/>
      <c r="M294" s="746"/>
      <c r="N294" s="755"/>
      <c r="O294" s="746"/>
      <c r="P294" s="742"/>
      <c r="Q294" s="742"/>
    </row>
    <row r="295" spans="1:17" x14ac:dyDescent="0.2">
      <c r="A295" s="747"/>
      <c r="B295" s="755"/>
      <c r="C295" s="756"/>
      <c r="D295" s="746"/>
      <c r="E295" s="746"/>
      <c r="F295" s="742"/>
      <c r="G295" s="742"/>
      <c r="H295" s="742"/>
      <c r="I295" s="742"/>
      <c r="J295" s="743"/>
      <c r="K295" s="746"/>
      <c r="L295" s="746"/>
      <c r="M295" s="746"/>
      <c r="N295" s="755"/>
      <c r="O295" s="746"/>
      <c r="P295" s="742"/>
      <c r="Q295" s="742"/>
    </row>
    <row r="296" spans="1:17" x14ac:dyDescent="0.2">
      <c r="A296" s="747"/>
      <c r="B296" s="755"/>
      <c r="C296" s="756"/>
      <c r="D296" s="746"/>
      <c r="E296" s="746"/>
      <c r="F296" s="742"/>
      <c r="G296" s="742"/>
      <c r="H296" s="742"/>
      <c r="I296" s="742"/>
      <c r="J296" s="743"/>
      <c r="K296" s="746"/>
      <c r="L296" s="746"/>
      <c r="M296" s="746"/>
      <c r="N296" s="755"/>
      <c r="O296" s="746"/>
      <c r="P296" s="742"/>
      <c r="Q296" s="742"/>
    </row>
    <row r="297" spans="1:17" ht="17" x14ac:dyDescent="0.2">
      <c r="A297" s="354" t="s">
        <v>1169</v>
      </c>
      <c r="B297" s="12"/>
      <c r="C297" s="353"/>
      <c r="D297" s="563" t="s">
        <v>1955</v>
      </c>
      <c r="E297" s="16"/>
      <c r="F297" s="218"/>
      <c r="G297" s="12" t="s">
        <v>813</v>
      </c>
      <c r="H297" s="16"/>
      <c r="I297" s="16"/>
      <c r="J297" s="51"/>
      <c r="K297" s="16"/>
      <c r="L297" s="16"/>
      <c r="M297" s="16"/>
      <c r="N297" s="12">
        <v>544142903</v>
      </c>
      <c r="O297" s="16" t="s">
        <v>697</v>
      </c>
      <c r="P297" s="207"/>
      <c r="Q297" s="207"/>
    </row>
    <row r="298" spans="1:17" x14ac:dyDescent="0.2">
      <c r="A298" s="747" t="s">
        <v>671</v>
      </c>
      <c r="B298" s="755"/>
      <c r="C298" s="756" t="s">
        <v>681</v>
      </c>
      <c r="D298" s="746"/>
      <c r="E298" s="746"/>
      <c r="F298" s="742"/>
      <c r="G298" s="742"/>
      <c r="H298" s="742"/>
      <c r="I298" s="742"/>
      <c r="J298" s="743" t="s">
        <v>313</v>
      </c>
      <c r="K298" s="746"/>
      <c r="L298" s="746"/>
      <c r="M298" s="746"/>
      <c r="N298" s="755"/>
      <c r="O298" s="746"/>
      <c r="P298" s="742"/>
      <c r="Q298" s="742"/>
    </row>
    <row r="299" spans="1:17" x14ac:dyDescent="0.2">
      <c r="A299" s="747"/>
      <c r="B299" s="755"/>
      <c r="C299" s="756"/>
      <c r="D299" s="746"/>
      <c r="E299" s="746"/>
      <c r="F299" s="742"/>
      <c r="G299" s="742"/>
      <c r="H299" s="742"/>
      <c r="I299" s="742"/>
      <c r="J299" s="743"/>
      <c r="K299" s="746"/>
      <c r="L299" s="746"/>
      <c r="M299" s="746"/>
      <c r="N299" s="755"/>
      <c r="O299" s="746"/>
      <c r="P299" s="742"/>
      <c r="Q299" s="742"/>
    </row>
    <row r="300" spans="1:17" x14ac:dyDescent="0.2">
      <c r="A300" s="747"/>
      <c r="B300" s="755"/>
      <c r="C300" s="756"/>
      <c r="D300" s="746"/>
      <c r="E300" s="746"/>
      <c r="F300" s="742"/>
      <c r="G300" s="742"/>
      <c r="H300" s="742"/>
      <c r="I300" s="742"/>
      <c r="J300" s="743"/>
      <c r="K300" s="746"/>
      <c r="L300" s="746"/>
      <c r="M300" s="746"/>
      <c r="N300" s="755"/>
      <c r="O300" s="746"/>
      <c r="P300" s="742"/>
      <c r="Q300" s="742"/>
    </row>
    <row r="301" spans="1:17" ht="17" x14ac:dyDescent="0.2">
      <c r="A301" s="354" t="s">
        <v>1171</v>
      </c>
      <c r="B301" s="12"/>
      <c r="C301" s="353"/>
      <c r="D301" s="563" t="s">
        <v>1956</v>
      </c>
      <c r="E301" s="16"/>
      <c r="F301" s="218"/>
      <c r="G301" s="12" t="s">
        <v>812</v>
      </c>
      <c r="H301" s="16"/>
      <c r="I301" s="16"/>
      <c r="J301" s="51"/>
      <c r="K301" s="16"/>
      <c r="L301" s="16"/>
      <c r="M301" s="16"/>
      <c r="N301" s="12">
        <v>544142899</v>
      </c>
      <c r="O301" s="16" t="s">
        <v>697</v>
      </c>
      <c r="P301" s="207"/>
      <c r="Q301" s="207"/>
    </row>
    <row r="302" spans="1:17" x14ac:dyDescent="0.2">
      <c r="A302" s="772" t="s">
        <v>965</v>
      </c>
      <c r="B302" s="755"/>
      <c r="C302" s="756" t="s">
        <v>1280</v>
      </c>
      <c r="D302" s="746"/>
      <c r="E302" s="746"/>
      <c r="F302" s="742"/>
      <c r="G302" s="742"/>
      <c r="H302" s="742"/>
      <c r="I302" s="742"/>
      <c r="J302" s="743" t="s">
        <v>313</v>
      </c>
      <c r="K302" s="746"/>
      <c r="L302" s="746"/>
      <c r="M302" s="746"/>
      <c r="N302" s="755"/>
      <c r="O302" s="746"/>
      <c r="P302" s="742"/>
      <c r="Q302" s="742"/>
    </row>
    <row r="303" spans="1:17" x14ac:dyDescent="0.2">
      <c r="A303" s="773"/>
      <c r="B303" s="755"/>
      <c r="C303" s="756"/>
      <c r="D303" s="746"/>
      <c r="E303" s="746"/>
      <c r="F303" s="742"/>
      <c r="G303" s="742"/>
      <c r="H303" s="742"/>
      <c r="I303" s="742"/>
      <c r="J303" s="743"/>
      <c r="K303" s="746"/>
      <c r="L303" s="746"/>
      <c r="M303" s="746"/>
      <c r="N303" s="755"/>
      <c r="O303" s="746"/>
      <c r="P303" s="742"/>
      <c r="Q303" s="742"/>
    </row>
    <row r="304" spans="1:17" x14ac:dyDescent="0.2">
      <c r="A304" s="774"/>
      <c r="B304" s="755"/>
      <c r="C304" s="756"/>
      <c r="D304" s="746"/>
      <c r="E304" s="746"/>
      <c r="F304" s="742"/>
      <c r="G304" s="742"/>
      <c r="H304" s="742"/>
      <c r="I304" s="742"/>
      <c r="J304" s="743"/>
      <c r="K304" s="746"/>
      <c r="L304" s="746"/>
      <c r="M304" s="746"/>
      <c r="N304" s="755"/>
      <c r="O304" s="746"/>
      <c r="P304" s="742"/>
      <c r="Q304" s="742"/>
    </row>
    <row r="305" spans="1:18" x14ac:dyDescent="0.2">
      <c r="A305" s="20"/>
      <c r="B305" s="130"/>
      <c r="C305" s="339"/>
      <c r="D305" s="14"/>
      <c r="E305" s="14"/>
      <c r="F305" s="14"/>
      <c r="G305" s="14"/>
      <c r="H305" s="14"/>
      <c r="I305" s="14"/>
      <c r="J305" s="126"/>
      <c r="N305" s="124"/>
    </row>
    <row r="306" spans="1:18" ht="63.5" customHeight="1" x14ac:dyDescent="0.2">
      <c r="A306" s="17" t="s">
        <v>1326</v>
      </c>
      <c r="B306" s="6"/>
      <c r="C306" s="12" t="s">
        <v>970</v>
      </c>
      <c r="D306" s="6"/>
      <c r="E306" s="6"/>
      <c r="F306" s="6"/>
      <c r="G306" s="12" t="s">
        <v>1798</v>
      </c>
      <c r="H306" s="6"/>
      <c r="I306" s="6"/>
      <c r="J306" s="489" t="s">
        <v>1155</v>
      </c>
      <c r="K306" s="6"/>
      <c r="L306" s="53">
        <v>5</v>
      </c>
      <c r="M306" s="6"/>
      <c r="N306" s="12">
        <v>542083091</v>
      </c>
      <c r="O306" s="6"/>
      <c r="P306" s="6"/>
      <c r="Q306" s="6"/>
    </row>
    <row r="307" spans="1:18" ht="16.75" customHeight="1" x14ac:dyDescent="0.2">
      <c r="A307" s="122"/>
      <c r="B307" s="6"/>
      <c r="C307" s="12"/>
      <c r="D307" s="6"/>
      <c r="E307" s="6"/>
      <c r="F307" s="6"/>
      <c r="G307" s="53"/>
      <c r="H307" s="6"/>
      <c r="I307" s="6"/>
      <c r="J307" s="172"/>
      <c r="K307" s="6"/>
      <c r="L307" s="53"/>
      <c r="M307" s="6"/>
      <c r="N307" s="12"/>
      <c r="O307" s="6"/>
      <c r="P307" s="6"/>
      <c r="Q307" s="6"/>
    </row>
    <row r="308" spans="1:18" ht="17" x14ac:dyDescent="0.2">
      <c r="A308" s="218" t="s">
        <v>49</v>
      </c>
      <c r="B308" s="16"/>
      <c r="C308" s="83" t="s">
        <v>799</v>
      </c>
      <c r="D308" s="6"/>
      <c r="E308" s="7"/>
      <c r="F308" s="6"/>
      <c r="G308" s="51" t="s">
        <v>800</v>
      </c>
      <c r="H308" s="7"/>
      <c r="I308" s="7"/>
      <c r="J308" s="218"/>
      <c r="K308" s="16"/>
      <c r="L308" s="219"/>
      <c r="M308" s="16"/>
      <c r="N308" s="12"/>
      <c r="O308" s="16"/>
      <c r="P308" s="143"/>
      <c r="Q308" s="143"/>
    </row>
    <row r="309" spans="1:18" x14ac:dyDescent="0.2">
      <c r="A309" s="218"/>
      <c r="B309" s="16"/>
      <c r="C309" s="83"/>
      <c r="D309" s="6"/>
      <c r="E309" s="7"/>
      <c r="F309" s="6"/>
      <c r="G309" s="51"/>
      <c r="H309" s="7"/>
      <c r="I309" s="7"/>
      <c r="J309" s="218"/>
      <c r="K309" s="16"/>
      <c r="L309" s="219"/>
      <c r="M309" s="16"/>
      <c r="N309" s="12"/>
      <c r="O309" s="16"/>
      <c r="P309" s="143"/>
      <c r="Q309" s="143"/>
    </row>
    <row r="310" spans="1:18" x14ac:dyDescent="0.2">
      <c r="A310" s="218"/>
      <c r="B310" s="16"/>
      <c r="C310" s="83"/>
      <c r="D310" s="6"/>
      <c r="E310" s="7"/>
      <c r="F310" s="6"/>
      <c r="G310" s="51"/>
      <c r="H310" s="7"/>
      <c r="I310" s="7"/>
      <c r="J310" s="218"/>
      <c r="K310" s="16"/>
      <c r="L310" s="219"/>
      <c r="M310" s="16"/>
      <c r="N310" s="12"/>
      <c r="O310" s="16"/>
      <c r="P310" s="143"/>
      <c r="Q310" s="143"/>
    </row>
    <row r="311" spans="1:18" s="130" customFormat="1" ht="37.25" customHeight="1" x14ac:dyDescent="0.2">
      <c r="A311" s="362" t="s">
        <v>1861</v>
      </c>
      <c r="B311" s="12"/>
      <c r="C311" s="50" t="s">
        <v>809</v>
      </c>
      <c r="D311" s="558"/>
      <c r="E311" s="7"/>
      <c r="F311" s="12"/>
      <c r="G311" s="51" t="s">
        <v>810</v>
      </c>
      <c r="H311" s="7"/>
      <c r="I311" s="7"/>
      <c r="J311" s="460" t="s">
        <v>1664</v>
      </c>
      <c r="K311" s="12"/>
      <c r="L311" s="173">
        <v>33</v>
      </c>
      <c r="M311" s="12"/>
      <c r="N311" s="12">
        <v>544137167</v>
      </c>
      <c r="O311" s="12" t="s">
        <v>597</v>
      </c>
      <c r="P311" s="143"/>
      <c r="Q311" s="143"/>
      <c r="R311" s="126"/>
    </row>
    <row r="313" spans="1:18" x14ac:dyDescent="0.2">
      <c r="J313" s="292"/>
    </row>
    <row r="314" spans="1:18" x14ac:dyDescent="0.2">
      <c r="A314" s="146"/>
      <c r="B314" s="130"/>
      <c r="C314" s="339"/>
      <c r="D314" s="14"/>
      <c r="E314" s="14"/>
      <c r="F314" s="14"/>
      <c r="G314" s="14"/>
      <c r="H314" s="14"/>
      <c r="I314" s="14"/>
      <c r="J314" s="493" t="s">
        <v>1862</v>
      </c>
    </row>
    <row r="315" spans="1:18" x14ac:dyDescent="0.2">
      <c r="A315" s="758" t="s">
        <v>1053</v>
      </c>
      <c r="B315" s="759"/>
      <c r="C315" s="760"/>
      <c r="D315" s="14"/>
      <c r="E315" s="14"/>
      <c r="F315" s="14"/>
      <c r="G315" s="14"/>
      <c r="H315" s="14"/>
      <c r="I315" s="14"/>
      <c r="J315" s="14"/>
    </row>
    <row r="316" spans="1:18" x14ac:dyDescent="0.2">
      <c r="A316" s="761"/>
      <c r="B316" s="762"/>
      <c r="C316" s="763"/>
      <c r="D316" s="14"/>
      <c r="E316" s="14"/>
      <c r="F316" s="14"/>
      <c r="G316" s="14"/>
      <c r="H316" s="14"/>
      <c r="I316" s="14"/>
      <c r="J316" s="14"/>
    </row>
    <row r="317" spans="1:18" x14ac:dyDescent="0.2">
      <c r="A317" s="20"/>
      <c r="C317" s="321"/>
      <c r="D317" s="14"/>
      <c r="E317" s="14"/>
      <c r="F317" s="14"/>
      <c r="G317" s="14"/>
      <c r="H317" s="14"/>
      <c r="I317" s="14"/>
      <c r="J317" s="14"/>
    </row>
    <row r="318" spans="1:18" s="14" customFormat="1" ht="44" customHeight="1" x14ac:dyDescent="0.2">
      <c r="A318" s="17" t="s">
        <v>1324</v>
      </c>
      <c r="B318" s="24" t="s">
        <v>2016</v>
      </c>
      <c r="C318" s="180" t="s">
        <v>1200</v>
      </c>
      <c r="D318" s="16"/>
      <c r="E318" s="16"/>
      <c r="F318" s="170" t="s">
        <v>1695</v>
      </c>
      <c r="G318" s="12" t="s">
        <v>1283</v>
      </c>
      <c r="H318" s="16"/>
      <c r="I318" s="16"/>
      <c r="J318" s="454" t="s">
        <v>1284</v>
      </c>
      <c r="K318" s="16"/>
      <c r="L318" s="173">
        <v>12</v>
      </c>
      <c r="M318" s="16"/>
      <c r="N318" s="12">
        <v>542082739</v>
      </c>
      <c r="O318" s="12" t="s">
        <v>597</v>
      </c>
      <c r="P318" s="16"/>
      <c r="Q318" s="16"/>
      <c r="R318" s="148"/>
    </row>
    <row r="319" spans="1:18" ht="34" x14ac:dyDescent="0.2">
      <c r="A319" s="17" t="s">
        <v>1196</v>
      </c>
      <c r="B319" s="16"/>
      <c r="C319" s="353" t="s">
        <v>1180</v>
      </c>
      <c r="D319" s="562" t="s">
        <v>1960</v>
      </c>
      <c r="E319" s="16"/>
      <c r="F319" s="170" t="s">
        <v>1696</v>
      </c>
      <c r="G319" s="12" t="s">
        <v>1285</v>
      </c>
      <c r="H319" s="16"/>
      <c r="I319" s="16"/>
      <c r="J319" s="373" t="s">
        <v>1284</v>
      </c>
      <c r="K319" s="16"/>
      <c r="L319" s="173">
        <v>8</v>
      </c>
      <c r="M319" s="16"/>
      <c r="N319" s="12">
        <v>544150493</v>
      </c>
      <c r="O319" s="12" t="s">
        <v>1293</v>
      </c>
      <c r="P319" s="16"/>
      <c r="Q319" s="16"/>
    </row>
    <row r="320" spans="1:18" x14ac:dyDescent="0.2">
      <c r="A320" s="747" t="s">
        <v>1175</v>
      </c>
      <c r="B320" s="755" t="s">
        <v>454</v>
      </c>
      <c r="C320" s="756" t="s">
        <v>1201</v>
      </c>
      <c r="D320" s="764" t="s">
        <v>1957</v>
      </c>
      <c r="E320" s="746"/>
      <c r="F320" s="742"/>
      <c r="G320" s="742"/>
      <c r="H320" s="742"/>
      <c r="I320" s="742"/>
      <c r="J320" s="743" t="s">
        <v>313</v>
      </c>
      <c r="K320" s="746"/>
      <c r="L320" s="743"/>
      <c r="M320" s="746"/>
      <c r="N320" s="757" t="s">
        <v>1316</v>
      </c>
      <c r="O320" s="746"/>
      <c r="P320" s="742"/>
      <c r="Q320" s="742"/>
    </row>
    <row r="321" spans="1:17" x14ac:dyDescent="0.2">
      <c r="A321" s="747"/>
      <c r="B321" s="755"/>
      <c r="C321" s="756"/>
      <c r="D321" s="765"/>
      <c r="E321" s="746"/>
      <c r="F321" s="742"/>
      <c r="G321" s="742"/>
      <c r="H321" s="742"/>
      <c r="I321" s="742"/>
      <c r="J321" s="743"/>
      <c r="K321" s="746"/>
      <c r="L321" s="743"/>
      <c r="M321" s="746"/>
      <c r="N321" s="757"/>
      <c r="O321" s="746"/>
      <c r="P321" s="742"/>
      <c r="Q321" s="742"/>
    </row>
    <row r="322" spans="1:17" x14ac:dyDescent="0.2">
      <c r="A322" s="747"/>
      <c r="B322" s="755"/>
      <c r="C322" s="756"/>
      <c r="D322" s="765"/>
      <c r="E322" s="746"/>
      <c r="F322" s="742"/>
      <c r="G322" s="742"/>
      <c r="H322" s="742"/>
      <c r="I322" s="742"/>
      <c r="J322" s="743"/>
      <c r="K322" s="746"/>
      <c r="L322" s="743"/>
      <c r="M322" s="746"/>
      <c r="N322" s="757"/>
      <c r="O322" s="746"/>
      <c r="P322" s="742"/>
      <c r="Q322" s="742"/>
    </row>
    <row r="323" spans="1:17" x14ac:dyDescent="0.2">
      <c r="A323" s="747" t="s">
        <v>1176</v>
      </c>
      <c r="B323" s="755" t="s">
        <v>967</v>
      </c>
      <c r="C323" s="756" t="s">
        <v>1202</v>
      </c>
      <c r="D323" s="781" t="s">
        <v>1959</v>
      </c>
      <c r="E323" s="746"/>
      <c r="F323" s="742"/>
      <c r="G323" s="742"/>
      <c r="H323" s="742"/>
      <c r="I323" s="742"/>
      <c r="J323" s="743" t="s">
        <v>313</v>
      </c>
      <c r="K323" s="746"/>
      <c r="L323" s="743"/>
      <c r="M323" s="746"/>
      <c r="N323" s="757">
        <v>788891577</v>
      </c>
      <c r="O323" s="746"/>
      <c r="P323" s="742"/>
      <c r="Q323" s="742"/>
    </row>
    <row r="324" spans="1:17" x14ac:dyDescent="0.2">
      <c r="A324" s="747"/>
      <c r="B324" s="755"/>
      <c r="C324" s="756"/>
      <c r="D324" s="782"/>
      <c r="E324" s="746"/>
      <c r="F324" s="742"/>
      <c r="G324" s="742"/>
      <c r="H324" s="742"/>
      <c r="I324" s="742"/>
      <c r="J324" s="743"/>
      <c r="K324" s="746"/>
      <c r="L324" s="743"/>
      <c r="M324" s="746"/>
      <c r="N324" s="757"/>
      <c r="O324" s="746"/>
      <c r="P324" s="742"/>
      <c r="Q324" s="742"/>
    </row>
    <row r="325" spans="1:17" x14ac:dyDescent="0.2">
      <c r="A325" s="747"/>
      <c r="B325" s="755"/>
      <c r="C325" s="756"/>
      <c r="D325" s="783"/>
      <c r="E325" s="746"/>
      <c r="F325" s="742"/>
      <c r="G325" s="742"/>
      <c r="H325" s="742"/>
      <c r="I325" s="742"/>
      <c r="J325" s="743"/>
      <c r="K325" s="746"/>
      <c r="L325" s="743"/>
      <c r="M325" s="746"/>
      <c r="N325" s="757"/>
      <c r="O325" s="746"/>
      <c r="P325" s="742"/>
      <c r="Q325" s="742"/>
    </row>
    <row r="326" spans="1:17" ht="34" x14ac:dyDescent="0.2">
      <c r="A326" s="354" t="s">
        <v>1197</v>
      </c>
      <c r="B326" s="12"/>
      <c r="C326" s="353" t="s">
        <v>1203</v>
      </c>
      <c r="D326" s="562" t="s">
        <v>1961</v>
      </c>
      <c r="E326" s="16"/>
      <c r="F326" s="170" t="s">
        <v>1697</v>
      </c>
      <c r="G326" s="12" t="s">
        <v>1313</v>
      </c>
      <c r="H326" s="16"/>
      <c r="I326" s="16"/>
      <c r="J326" s="293" t="s">
        <v>1284</v>
      </c>
      <c r="K326" s="16"/>
      <c r="L326" s="173">
        <v>11</v>
      </c>
      <c r="M326" s="16"/>
      <c r="N326" s="50">
        <v>544150501</v>
      </c>
      <c r="O326" s="16" t="s">
        <v>1293</v>
      </c>
      <c r="P326" s="207"/>
      <c r="Q326" s="207"/>
    </row>
    <row r="327" spans="1:17" ht="34" x14ac:dyDescent="0.2">
      <c r="A327" s="354" t="s">
        <v>1198</v>
      </c>
      <c r="B327" s="12"/>
      <c r="C327" s="353" t="s">
        <v>1204</v>
      </c>
      <c r="D327" s="562" t="s">
        <v>1962</v>
      </c>
      <c r="E327" s="16"/>
      <c r="F327" s="170" t="s">
        <v>1698</v>
      </c>
      <c r="G327" s="12" t="s">
        <v>1314</v>
      </c>
      <c r="H327" s="16"/>
      <c r="I327" s="16"/>
      <c r="J327" s="293" t="s">
        <v>1284</v>
      </c>
      <c r="K327" s="16"/>
      <c r="L327" s="173">
        <v>9</v>
      </c>
      <c r="M327" s="16"/>
      <c r="N327" s="50">
        <v>544150496</v>
      </c>
      <c r="O327" s="16" t="s">
        <v>1293</v>
      </c>
      <c r="P327" s="207"/>
      <c r="Q327" s="207"/>
    </row>
    <row r="328" spans="1:17" x14ac:dyDescent="0.2">
      <c r="A328" s="747" t="s">
        <v>1177</v>
      </c>
      <c r="B328" s="755" t="s">
        <v>454</v>
      </c>
      <c r="C328" s="756" t="s">
        <v>1205</v>
      </c>
      <c r="D328" s="764" t="s">
        <v>1957</v>
      </c>
      <c r="E328" s="746"/>
      <c r="F328" s="742"/>
      <c r="G328" s="742"/>
      <c r="H328" s="742"/>
      <c r="I328" s="742"/>
      <c r="J328" s="743" t="s">
        <v>313</v>
      </c>
      <c r="K328" s="746"/>
      <c r="L328" s="743"/>
      <c r="M328" s="746"/>
      <c r="N328" s="757" t="s">
        <v>1317</v>
      </c>
      <c r="O328" s="746"/>
      <c r="P328" s="742"/>
      <c r="Q328" s="742"/>
    </row>
    <row r="329" spans="1:17" x14ac:dyDescent="0.2">
      <c r="A329" s="747"/>
      <c r="B329" s="755"/>
      <c r="C329" s="756"/>
      <c r="D329" s="765"/>
      <c r="E329" s="746"/>
      <c r="F329" s="742"/>
      <c r="G329" s="742"/>
      <c r="H329" s="742"/>
      <c r="I329" s="742"/>
      <c r="J329" s="743"/>
      <c r="K329" s="746"/>
      <c r="L329" s="743"/>
      <c r="M329" s="746"/>
      <c r="N329" s="757"/>
      <c r="O329" s="746"/>
      <c r="P329" s="742"/>
      <c r="Q329" s="742"/>
    </row>
    <row r="330" spans="1:17" x14ac:dyDescent="0.2">
      <c r="A330" s="747"/>
      <c r="B330" s="755"/>
      <c r="C330" s="756"/>
      <c r="D330" s="765"/>
      <c r="E330" s="746"/>
      <c r="F330" s="742"/>
      <c r="G330" s="742"/>
      <c r="H330" s="742"/>
      <c r="I330" s="742"/>
      <c r="J330" s="743"/>
      <c r="K330" s="746"/>
      <c r="L330" s="743"/>
      <c r="M330" s="746"/>
      <c r="N330" s="757"/>
      <c r="O330" s="746"/>
      <c r="P330" s="742"/>
      <c r="Q330" s="742"/>
    </row>
    <row r="331" spans="1:17" x14ac:dyDescent="0.2">
      <c r="A331" s="747" t="s">
        <v>1178</v>
      </c>
      <c r="B331" s="755" t="s">
        <v>454</v>
      </c>
      <c r="C331" s="756" t="s">
        <v>1206</v>
      </c>
      <c r="D331" s="764" t="s">
        <v>1958</v>
      </c>
      <c r="E331" s="746"/>
      <c r="F331" s="742"/>
      <c r="G331" s="742"/>
      <c r="H331" s="742"/>
      <c r="I331" s="742"/>
      <c r="J331" s="743" t="s">
        <v>313</v>
      </c>
      <c r="K331" s="746"/>
      <c r="L331" s="743"/>
      <c r="M331" s="746"/>
      <c r="N331" s="757" t="s">
        <v>1318</v>
      </c>
      <c r="O331" s="746"/>
      <c r="P331" s="742"/>
      <c r="Q331" s="742"/>
    </row>
    <row r="332" spans="1:17" x14ac:dyDescent="0.2">
      <c r="A332" s="747"/>
      <c r="B332" s="755"/>
      <c r="C332" s="756"/>
      <c r="D332" s="765"/>
      <c r="E332" s="746"/>
      <c r="F332" s="742"/>
      <c r="G332" s="742"/>
      <c r="H332" s="742"/>
      <c r="I332" s="742"/>
      <c r="J332" s="743"/>
      <c r="K332" s="746"/>
      <c r="L332" s="743"/>
      <c r="M332" s="746"/>
      <c r="N332" s="757"/>
      <c r="O332" s="746"/>
      <c r="P332" s="742"/>
      <c r="Q332" s="742"/>
    </row>
    <row r="333" spans="1:17" x14ac:dyDescent="0.2">
      <c r="A333" s="747"/>
      <c r="B333" s="755"/>
      <c r="C333" s="756"/>
      <c r="D333" s="765"/>
      <c r="E333" s="746"/>
      <c r="F333" s="742"/>
      <c r="G333" s="742"/>
      <c r="H333" s="742"/>
      <c r="I333" s="742"/>
      <c r="J333" s="743"/>
      <c r="K333" s="746"/>
      <c r="L333" s="743"/>
      <c r="M333" s="746"/>
      <c r="N333" s="757"/>
      <c r="O333" s="746"/>
      <c r="P333" s="742"/>
      <c r="Q333" s="742"/>
    </row>
    <row r="334" spans="1:17" ht="34" x14ac:dyDescent="0.2">
      <c r="A334" s="354" t="s">
        <v>1199</v>
      </c>
      <c r="B334" s="12"/>
      <c r="C334" s="353"/>
      <c r="D334" s="564" t="s">
        <v>1963</v>
      </c>
      <c r="E334" s="16"/>
      <c r="F334" s="170" t="s">
        <v>1699</v>
      </c>
      <c r="G334" s="12" t="s">
        <v>1315</v>
      </c>
      <c r="H334" s="12"/>
      <c r="I334" s="12"/>
      <c r="J334" s="293" t="s">
        <v>1284</v>
      </c>
      <c r="K334" s="16"/>
      <c r="L334" s="173">
        <v>7</v>
      </c>
      <c r="M334" s="16"/>
      <c r="N334" s="50">
        <v>544150494</v>
      </c>
      <c r="O334" s="16" t="s">
        <v>1293</v>
      </c>
      <c r="P334" s="207"/>
      <c r="Q334" s="207"/>
    </row>
    <row r="335" spans="1:17" x14ac:dyDescent="0.2">
      <c r="A335" s="20"/>
      <c r="B335" s="130"/>
      <c r="C335" s="339"/>
      <c r="D335" s="14"/>
      <c r="E335" s="14"/>
      <c r="F335" s="14"/>
      <c r="G335" s="14"/>
      <c r="H335" s="14"/>
      <c r="I335" s="14"/>
      <c r="J335" s="367"/>
      <c r="N335" s="124"/>
    </row>
    <row r="340" spans="1:18" ht="16.25" customHeight="1" x14ac:dyDescent="0.2">
      <c r="A340" s="142" t="s">
        <v>1248</v>
      </c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</row>
    <row r="341" spans="1:18" ht="16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</row>
    <row r="342" spans="1:18" ht="51" customHeight="1" x14ac:dyDescent="0.2">
      <c r="A342" s="28" t="s">
        <v>0</v>
      </c>
      <c r="B342" s="34" t="s">
        <v>115</v>
      </c>
      <c r="C342" s="29" t="s">
        <v>1</v>
      </c>
      <c r="D342" s="29" t="s">
        <v>320</v>
      </c>
      <c r="E342" s="30"/>
      <c r="F342" s="31" t="s">
        <v>443</v>
      </c>
      <c r="G342" s="32" t="s">
        <v>2</v>
      </c>
      <c r="H342" s="32" t="s">
        <v>614</v>
      </c>
      <c r="I342" s="32" t="s">
        <v>615</v>
      </c>
      <c r="J342" s="33" t="s">
        <v>3</v>
      </c>
      <c r="K342" s="33" t="s">
        <v>4</v>
      </c>
      <c r="L342" s="33" t="s">
        <v>5</v>
      </c>
      <c r="M342" s="30"/>
      <c r="N342" s="34" t="s">
        <v>6</v>
      </c>
      <c r="O342" s="35" t="s">
        <v>7</v>
      </c>
      <c r="P342" s="34" t="s">
        <v>8</v>
      </c>
      <c r="Q342" s="34" t="s">
        <v>111</v>
      </c>
    </row>
    <row r="345" spans="1:18" ht="17" x14ac:dyDescent="0.2">
      <c r="A345" s="17" t="s">
        <v>446</v>
      </c>
      <c r="B345" s="16"/>
      <c r="C345" s="6"/>
      <c r="D345" s="16" t="s">
        <v>1976</v>
      </c>
      <c r="E345" s="6"/>
      <c r="F345" s="6"/>
      <c r="G345" s="218" t="s">
        <v>1249</v>
      </c>
      <c r="H345" s="6"/>
      <c r="I345" s="6" t="s">
        <v>616</v>
      </c>
      <c r="J345" s="16" t="s">
        <v>1791</v>
      </c>
      <c r="K345" s="16"/>
      <c r="L345" s="16">
        <v>7</v>
      </c>
      <c r="M345" s="16"/>
      <c r="N345" s="12">
        <v>542082935</v>
      </c>
      <c r="O345" s="16" t="s">
        <v>597</v>
      </c>
      <c r="P345" s="16"/>
      <c r="Q345" s="16"/>
    </row>
    <row r="346" spans="1:18" ht="17" x14ac:dyDescent="0.2">
      <c r="A346" s="17" t="s">
        <v>257</v>
      </c>
      <c r="B346" s="16"/>
      <c r="C346" s="6"/>
      <c r="D346" s="16" t="s">
        <v>1977</v>
      </c>
      <c r="E346" s="6"/>
      <c r="F346" s="6"/>
      <c r="G346" s="218" t="s">
        <v>1250</v>
      </c>
      <c r="H346" s="598" t="s">
        <v>617</v>
      </c>
      <c r="I346" s="6"/>
      <c r="J346" s="16" t="s">
        <v>1791</v>
      </c>
      <c r="K346" s="16"/>
      <c r="L346" s="16">
        <v>8</v>
      </c>
      <c r="M346" s="16"/>
      <c r="N346" s="12">
        <v>542082737</v>
      </c>
      <c r="O346" s="16" t="s">
        <v>597</v>
      </c>
      <c r="P346" s="16"/>
      <c r="Q346" s="16"/>
    </row>
    <row r="347" spans="1:18" ht="17" x14ac:dyDescent="0.2">
      <c r="A347" s="17" t="s">
        <v>265</v>
      </c>
      <c r="B347" s="16"/>
      <c r="C347" s="6"/>
      <c r="D347" s="16" t="s">
        <v>1978</v>
      </c>
      <c r="E347" s="6"/>
      <c r="F347" s="6"/>
      <c r="G347" s="218" t="s">
        <v>1251</v>
      </c>
      <c r="H347" s="6"/>
      <c r="I347" s="6"/>
      <c r="J347" s="16" t="s">
        <v>1791</v>
      </c>
      <c r="K347" s="16"/>
      <c r="L347" s="16">
        <v>9</v>
      </c>
      <c r="M347" s="16"/>
      <c r="N347" s="12">
        <v>542082735</v>
      </c>
      <c r="O347" s="16" t="s">
        <v>597</v>
      </c>
      <c r="P347" s="16"/>
      <c r="Q347" s="16"/>
    </row>
    <row r="348" spans="1:18" ht="17" x14ac:dyDescent="0.2">
      <c r="A348" s="17" t="s">
        <v>689</v>
      </c>
      <c r="B348" s="16"/>
      <c r="C348" s="6"/>
      <c r="D348" s="16" t="s">
        <v>1979</v>
      </c>
      <c r="E348" s="6"/>
      <c r="F348" s="6"/>
      <c r="G348" s="218" t="s">
        <v>1252</v>
      </c>
      <c r="H348" s="6"/>
      <c r="I348" s="6"/>
      <c r="J348" s="16" t="s">
        <v>1791</v>
      </c>
      <c r="K348" s="16"/>
      <c r="L348" s="16">
        <v>10</v>
      </c>
      <c r="M348" s="16"/>
      <c r="N348" s="12">
        <v>542082678</v>
      </c>
      <c r="O348" s="16" t="s">
        <v>597</v>
      </c>
      <c r="P348" s="16"/>
      <c r="Q348" s="16"/>
    </row>
    <row r="349" spans="1:18" ht="17" x14ac:dyDescent="0.2">
      <c r="A349" s="17" t="s">
        <v>286</v>
      </c>
      <c r="B349" s="16"/>
      <c r="C349" s="6"/>
      <c r="D349" s="16" t="s">
        <v>1980</v>
      </c>
      <c r="E349" s="6"/>
      <c r="F349" s="6"/>
      <c r="G349" s="218" t="s">
        <v>1253</v>
      </c>
      <c r="H349" s="6"/>
      <c r="I349" s="6"/>
      <c r="J349" s="16" t="s">
        <v>1791</v>
      </c>
      <c r="K349" s="16"/>
      <c r="L349" s="16">
        <v>11</v>
      </c>
      <c r="M349" s="16"/>
      <c r="N349" s="12">
        <v>542082179</v>
      </c>
      <c r="O349" s="16" t="s">
        <v>597</v>
      </c>
      <c r="P349" s="16"/>
      <c r="Q349" s="16"/>
    </row>
    <row r="350" spans="1:18" ht="17" x14ac:dyDescent="0.2">
      <c r="A350" s="17" t="s">
        <v>287</v>
      </c>
      <c r="B350" s="16"/>
      <c r="C350" s="6"/>
      <c r="D350" s="16" t="s">
        <v>1981</v>
      </c>
      <c r="E350" s="6"/>
      <c r="F350" s="16" t="s">
        <v>1989</v>
      </c>
      <c r="G350" s="218" t="s">
        <v>1254</v>
      </c>
      <c r="H350" s="6"/>
      <c r="I350" s="6"/>
      <c r="J350" s="16" t="s">
        <v>1783</v>
      </c>
      <c r="K350" s="16"/>
      <c r="L350" s="16">
        <v>7</v>
      </c>
      <c r="M350" s="16"/>
      <c r="N350" s="12">
        <v>542082181</v>
      </c>
      <c r="O350" s="16"/>
      <c r="P350" s="16"/>
      <c r="Q350" s="16"/>
    </row>
    <row r="351" spans="1:18" s="125" customFormat="1" ht="30.5" customHeight="1" x14ac:dyDescent="0.2">
      <c r="A351" s="17" t="s">
        <v>1014</v>
      </c>
      <c r="B351" s="12" t="s">
        <v>967</v>
      </c>
      <c r="C351" s="53"/>
      <c r="D351" s="12"/>
      <c r="E351" s="53"/>
      <c r="F351" s="577"/>
      <c r="G351" s="578"/>
      <c r="H351" s="577"/>
      <c r="I351" s="577"/>
      <c r="J351" s="51" t="s">
        <v>1991</v>
      </c>
      <c r="K351" s="12" t="s">
        <v>1792</v>
      </c>
      <c r="L351" s="12"/>
      <c r="M351" s="12"/>
      <c r="N351" s="12">
        <v>788891512</v>
      </c>
      <c r="O351" s="12"/>
      <c r="P351" s="12"/>
      <c r="Q351" s="12"/>
      <c r="R351" s="126"/>
    </row>
    <row r="352" spans="1:18" ht="17" x14ac:dyDescent="0.2">
      <c r="A352" s="17" t="s">
        <v>1017</v>
      </c>
      <c r="B352" s="16"/>
      <c r="C352" s="6"/>
      <c r="D352" s="16" t="s">
        <v>1982</v>
      </c>
      <c r="E352" s="6"/>
      <c r="F352" s="6"/>
      <c r="G352" s="218" t="s">
        <v>1255</v>
      </c>
      <c r="H352" s="6"/>
      <c r="I352" s="6"/>
      <c r="J352" s="16" t="s">
        <v>1988</v>
      </c>
      <c r="K352" s="16"/>
      <c r="L352" s="16">
        <v>8</v>
      </c>
      <c r="M352" s="16"/>
      <c r="N352" s="12">
        <v>542082178</v>
      </c>
      <c r="O352" s="16" t="s">
        <v>597</v>
      </c>
      <c r="P352" s="16"/>
      <c r="Q352" s="16"/>
    </row>
    <row r="353" spans="1:17" ht="17" x14ac:dyDescent="0.2">
      <c r="A353" s="17" t="s">
        <v>295</v>
      </c>
      <c r="B353" s="16"/>
      <c r="C353" s="6"/>
      <c r="D353" s="16" t="s">
        <v>1983</v>
      </c>
      <c r="E353" s="6"/>
      <c r="F353" s="6"/>
      <c r="G353" s="218" t="s">
        <v>1256</v>
      </c>
      <c r="H353" s="6"/>
      <c r="I353" s="6"/>
      <c r="J353" s="16" t="s">
        <v>1988</v>
      </c>
      <c r="K353" s="16"/>
      <c r="L353" s="16">
        <v>9</v>
      </c>
      <c r="M353" s="16"/>
      <c r="N353" s="12">
        <v>542082177</v>
      </c>
      <c r="O353" s="16" t="s">
        <v>597</v>
      </c>
      <c r="P353" s="16"/>
      <c r="Q353" s="16"/>
    </row>
    <row r="354" spans="1:17" ht="17" x14ac:dyDescent="0.2">
      <c r="A354" s="17" t="s">
        <v>1028</v>
      </c>
      <c r="B354" s="16"/>
      <c r="C354" s="6"/>
      <c r="D354" s="16" t="s">
        <v>1984</v>
      </c>
      <c r="E354" s="6"/>
      <c r="F354" s="6"/>
      <c r="G354" s="218" t="s">
        <v>1257</v>
      </c>
      <c r="H354" s="6"/>
      <c r="I354" s="6"/>
      <c r="J354" s="16" t="s">
        <v>1988</v>
      </c>
      <c r="K354" s="16"/>
      <c r="L354" s="16">
        <v>10</v>
      </c>
      <c r="M354" s="16"/>
      <c r="N354" s="12">
        <v>542082742</v>
      </c>
      <c r="O354" s="16" t="s">
        <v>597</v>
      </c>
      <c r="P354" s="16"/>
      <c r="Q354" s="16"/>
    </row>
    <row r="355" spans="1:17" ht="17" x14ac:dyDescent="0.2">
      <c r="A355" s="17" t="s">
        <v>1907</v>
      </c>
      <c r="B355" s="16"/>
      <c r="C355" s="6"/>
      <c r="D355" s="16"/>
      <c r="E355" s="6"/>
      <c r="F355" s="6"/>
      <c r="G355" s="218" t="s">
        <v>1258</v>
      </c>
      <c r="H355" s="6"/>
      <c r="I355" s="6"/>
      <c r="J355" s="16" t="s">
        <v>1988</v>
      </c>
      <c r="K355" s="16"/>
      <c r="L355" s="16">
        <v>11</v>
      </c>
      <c r="M355" s="16"/>
      <c r="N355" s="12">
        <v>740</v>
      </c>
      <c r="O355" s="16"/>
      <c r="P355" s="16"/>
      <c r="Q355" s="16"/>
    </row>
    <row r="356" spans="1:17" ht="17" x14ac:dyDescent="0.2">
      <c r="A356" s="17" t="s">
        <v>1908</v>
      </c>
      <c r="B356" s="16"/>
      <c r="C356" s="6"/>
      <c r="D356" s="16"/>
      <c r="E356" s="6"/>
      <c r="F356" s="6"/>
      <c r="G356" s="218" t="s">
        <v>1282</v>
      </c>
      <c r="H356" s="6"/>
      <c r="I356" s="6"/>
      <c r="J356" s="16" t="s">
        <v>1988</v>
      </c>
      <c r="K356" s="16"/>
      <c r="L356" s="16">
        <v>12</v>
      </c>
      <c r="M356" s="16"/>
      <c r="N356" s="12">
        <v>175</v>
      </c>
      <c r="O356" s="16"/>
      <c r="P356" s="16"/>
      <c r="Q356" s="16"/>
    </row>
    <row r="357" spans="1:17" x14ac:dyDescent="0.2">
      <c r="A357" s="16"/>
      <c r="B357" s="16"/>
      <c r="C357" s="6"/>
      <c r="D357" s="16"/>
      <c r="E357" s="6"/>
      <c r="F357" s="6"/>
      <c r="G357" s="218"/>
      <c r="H357" s="6"/>
      <c r="I357" s="6"/>
      <c r="J357" s="6"/>
      <c r="K357" s="16"/>
      <c r="L357" s="16"/>
      <c r="M357" s="16"/>
      <c r="N357" s="12"/>
      <c r="O357" s="16"/>
      <c r="P357" s="16"/>
      <c r="Q357" s="16"/>
    </row>
    <row r="358" spans="1:17" x14ac:dyDescent="0.2">
      <c r="A358" s="16" t="s">
        <v>732</v>
      </c>
      <c r="B358" s="16"/>
      <c r="C358" s="6"/>
      <c r="D358" s="16"/>
      <c r="E358" s="6"/>
      <c r="F358" s="6"/>
      <c r="G358" s="218"/>
      <c r="H358" s="6"/>
      <c r="I358" s="6"/>
      <c r="J358" s="16" t="s">
        <v>1988</v>
      </c>
      <c r="K358" s="16"/>
      <c r="L358" s="16">
        <v>13</v>
      </c>
      <c r="M358" s="16"/>
      <c r="N358" s="12"/>
      <c r="O358" s="16"/>
      <c r="P358" s="16"/>
      <c r="Q358" s="16"/>
    </row>
    <row r="359" spans="1:17" x14ac:dyDescent="0.2">
      <c r="A359" s="16" t="s">
        <v>1790</v>
      </c>
      <c r="B359" s="16"/>
      <c r="C359" s="6"/>
      <c r="D359" s="16"/>
      <c r="E359" s="6"/>
      <c r="F359" s="6"/>
      <c r="G359" s="599">
        <v>10248140150</v>
      </c>
      <c r="H359" s="6"/>
      <c r="I359" s="6"/>
      <c r="J359" s="16" t="s">
        <v>1988</v>
      </c>
      <c r="K359" s="16"/>
      <c r="L359" s="16">
        <v>14</v>
      </c>
      <c r="M359" s="16"/>
      <c r="N359" s="12"/>
      <c r="O359" s="16"/>
      <c r="P359" s="16"/>
      <c r="Q359" s="16"/>
    </row>
    <row r="360" spans="1:17" x14ac:dyDescent="0.2">
      <c r="A360" s="16" t="s">
        <v>1793</v>
      </c>
      <c r="B360" s="16"/>
      <c r="C360" s="6"/>
      <c r="D360" s="16"/>
      <c r="E360" s="6"/>
      <c r="F360" s="6"/>
      <c r="G360" s="599">
        <v>10248140151</v>
      </c>
      <c r="H360" s="6"/>
      <c r="I360" s="6"/>
      <c r="J360" s="16" t="s">
        <v>1791</v>
      </c>
      <c r="K360" s="16"/>
      <c r="L360" s="16">
        <v>16</v>
      </c>
      <c r="M360" s="16"/>
      <c r="N360" s="12"/>
      <c r="O360" s="16"/>
      <c r="P360" s="16"/>
      <c r="Q360" s="16"/>
    </row>
    <row r="361" spans="1:17" x14ac:dyDescent="0.2">
      <c r="A361" s="16" t="s">
        <v>2005</v>
      </c>
      <c r="B361" s="16"/>
      <c r="C361" s="6"/>
      <c r="D361" s="16"/>
      <c r="E361" s="6"/>
      <c r="F361" s="6"/>
      <c r="G361" s="599">
        <v>10248140180</v>
      </c>
      <c r="H361" s="6"/>
      <c r="I361" s="6"/>
      <c r="J361" s="16" t="s">
        <v>1791</v>
      </c>
      <c r="K361" s="16"/>
      <c r="L361" s="16">
        <v>15</v>
      </c>
      <c r="M361" s="16"/>
      <c r="N361" s="12"/>
      <c r="O361" s="16"/>
      <c r="P361" s="16"/>
      <c r="Q361" s="16"/>
    </row>
    <row r="362" spans="1:17" x14ac:dyDescent="0.2">
      <c r="A362" s="16"/>
      <c r="B362" s="16"/>
      <c r="C362" s="6"/>
      <c r="D362" s="16"/>
      <c r="E362" s="6"/>
      <c r="F362" s="6"/>
      <c r="G362" s="218"/>
      <c r="H362" s="6"/>
      <c r="I362" s="6"/>
      <c r="J362" s="6"/>
      <c r="K362" s="16"/>
      <c r="L362" s="16"/>
      <c r="M362" s="16"/>
      <c r="N362" s="12"/>
      <c r="O362" s="16"/>
      <c r="P362" s="16"/>
      <c r="Q362" s="16"/>
    </row>
    <row r="363" spans="1:17" x14ac:dyDescent="0.2">
      <c r="A363" s="16" t="s">
        <v>1784</v>
      </c>
      <c r="B363" s="16">
        <v>419</v>
      </c>
      <c r="C363" s="6" t="s">
        <v>1917</v>
      </c>
      <c r="D363" s="16"/>
      <c r="E363" s="6"/>
      <c r="F363" s="6"/>
      <c r="G363" s="139" t="s">
        <v>1259</v>
      </c>
      <c r="H363" s="6"/>
      <c r="I363" s="6"/>
      <c r="J363" s="16" t="s">
        <v>1988</v>
      </c>
      <c r="K363" s="16" t="s">
        <v>1990</v>
      </c>
      <c r="L363" s="16">
        <v>1</v>
      </c>
      <c r="M363" s="16"/>
      <c r="N363" s="12"/>
      <c r="O363" s="16"/>
      <c r="P363" s="16"/>
      <c r="Q363" s="16"/>
    </row>
    <row r="364" spans="1:17" x14ac:dyDescent="0.2">
      <c r="A364" s="16" t="s">
        <v>1785</v>
      </c>
      <c r="B364" s="16">
        <v>210</v>
      </c>
      <c r="C364" s="6" t="s">
        <v>1918</v>
      </c>
      <c r="D364" s="16"/>
      <c r="E364" s="6"/>
      <c r="F364" s="6"/>
      <c r="G364" s="139" t="s">
        <v>1260</v>
      </c>
      <c r="H364" s="6"/>
      <c r="I364" s="6"/>
      <c r="J364" s="16" t="s">
        <v>1988</v>
      </c>
      <c r="K364" s="16" t="s">
        <v>1990</v>
      </c>
      <c r="L364" s="16">
        <v>3</v>
      </c>
      <c r="M364" s="16"/>
      <c r="N364" s="12"/>
      <c r="O364" s="16"/>
      <c r="P364" s="16"/>
      <c r="Q364" s="16"/>
    </row>
    <row r="365" spans="1:17" x14ac:dyDescent="0.2">
      <c r="A365" s="16" t="s">
        <v>1786</v>
      </c>
      <c r="B365" s="16"/>
      <c r="C365" s="6"/>
      <c r="D365" s="16"/>
      <c r="E365" s="6"/>
      <c r="F365" s="6"/>
      <c r="G365" s="139" t="s">
        <v>1261</v>
      </c>
      <c r="H365" s="6"/>
      <c r="I365" s="6"/>
      <c r="J365" s="16" t="s">
        <v>1988</v>
      </c>
      <c r="K365" s="16" t="s">
        <v>1990</v>
      </c>
      <c r="L365" s="16">
        <v>5</v>
      </c>
      <c r="M365" s="16"/>
      <c r="N365" s="12"/>
      <c r="O365" s="16"/>
      <c r="P365" s="16"/>
      <c r="Q365" s="16"/>
    </row>
    <row r="366" spans="1:17" x14ac:dyDescent="0.2">
      <c r="A366" s="16" t="s">
        <v>1787</v>
      </c>
      <c r="B366" s="16"/>
      <c r="C366" s="6"/>
      <c r="D366" s="16"/>
      <c r="E366" s="6"/>
      <c r="F366" s="6"/>
      <c r="G366" s="139" t="s">
        <v>1262</v>
      </c>
      <c r="H366" s="6"/>
      <c r="I366" s="6"/>
      <c r="J366" s="16" t="s">
        <v>1988</v>
      </c>
      <c r="K366" s="16" t="s">
        <v>1990</v>
      </c>
      <c r="L366" s="16">
        <v>2</v>
      </c>
      <c r="M366" s="16"/>
      <c r="N366" s="12">
        <v>544155212</v>
      </c>
      <c r="O366" s="16"/>
      <c r="P366" s="16"/>
      <c r="Q366" s="16"/>
    </row>
    <row r="367" spans="1:17" x14ac:dyDescent="0.2">
      <c r="A367" s="16" t="s">
        <v>1788</v>
      </c>
      <c r="B367" s="16"/>
      <c r="C367" s="6" t="s">
        <v>1992</v>
      </c>
      <c r="D367" s="16"/>
      <c r="E367" s="6"/>
      <c r="F367" s="6"/>
      <c r="G367" s="139" t="s">
        <v>1263</v>
      </c>
      <c r="H367" s="6"/>
      <c r="I367" s="6"/>
      <c r="J367" s="16" t="s">
        <v>1988</v>
      </c>
      <c r="K367" s="16" t="s">
        <v>1990</v>
      </c>
      <c r="L367" s="16">
        <v>4</v>
      </c>
      <c r="M367" s="16"/>
      <c r="N367" s="130">
        <v>544155206</v>
      </c>
      <c r="O367" s="16"/>
      <c r="P367" s="16"/>
      <c r="Q367" s="16"/>
    </row>
    <row r="368" spans="1:17" x14ac:dyDescent="0.2">
      <c r="A368" s="16" t="s">
        <v>1789</v>
      </c>
      <c r="B368" s="16"/>
      <c r="C368" s="6"/>
      <c r="D368" s="16"/>
      <c r="E368" s="6"/>
      <c r="F368" s="6"/>
      <c r="G368" s="139" t="s">
        <v>1264</v>
      </c>
      <c r="H368" s="6"/>
      <c r="I368" s="6"/>
      <c r="J368" s="16" t="s">
        <v>1988</v>
      </c>
      <c r="K368" s="16" t="s">
        <v>1990</v>
      </c>
      <c r="L368" s="16">
        <v>6</v>
      </c>
      <c r="M368" s="16"/>
      <c r="N368" s="12"/>
      <c r="O368" s="16"/>
      <c r="P368" s="16"/>
      <c r="Q368" s="16"/>
    </row>
    <row r="369" spans="1:17" x14ac:dyDescent="0.2">
      <c r="A369" s="16" t="s">
        <v>49</v>
      </c>
      <c r="B369" s="16"/>
      <c r="C369" s="6" t="s">
        <v>1909</v>
      </c>
      <c r="D369" s="16"/>
      <c r="E369" s="6"/>
      <c r="F369" s="6"/>
      <c r="G369" s="139" t="s">
        <v>1265</v>
      </c>
      <c r="H369" s="6"/>
      <c r="I369" s="6"/>
      <c r="J369" s="16" t="s">
        <v>1791</v>
      </c>
      <c r="K369" s="16"/>
      <c r="L369" s="16"/>
      <c r="M369" s="16"/>
      <c r="N369" s="12">
        <v>5421</v>
      </c>
      <c r="O369" s="16" t="s">
        <v>597</v>
      </c>
      <c r="P369" s="16"/>
      <c r="Q369" s="16"/>
    </row>
    <row r="370" spans="1:17" x14ac:dyDescent="0.2">
      <c r="A370" s="16" t="s">
        <v>49</v>
      </c>
      <c r="B370" s="16"/>
      <c r="C370" s="6" t="s">
        <v>1911</v>
      </c>
      <c r="D370" s="16"/>
      <c r="E370" s="6"/>
      <c r="F370" s="6"/>
      <c r="G370" s="139" t="s">
        <v>1266</v>
      </c>
      <c r="H370" s="6"/>
      <c r="I370" s="6"/>
      <c r="J370" s="16" t="s">
        <v>1791</v>
      </c>
      <c r="K370" s="16"/>
      <c r="L370" s="16"/>
      <c r="M370" s="16"/>
      <c r="N370" s="12">
        <v>414</v>
      </c>
      <c r="O370" s="16" t="s">
        <v>597</v>
      </c>
      <c r="P370" s="16"/>
      <c r="Q370" s="16"/>
    </row>
    <row r="371" spans="1:17" x14ac:dyDescent="0.2">
      <c r="A371" s="16" t="s">
        <v>49</v>
      </c>
      <c r="B371" s="16"/>
      <c r="C371" s="6" t="s">
        <v>732</v>
      </c>
      <c r="D371" s="16"/>
      <c r="E371" s="6"/>
      <c r="F371" s="6"/>
      <c r="G371" s="139" t="s">
        <v>1267</v>
      </c>
      <c r="H371" s="6"/>
      <c r="I371" s="6"/>
      <c r="J371" s="16" t="s">
        <v>1791</v>
      </c>
      <c r="K371" s="16"/>
      <c r="L371" s="16">
        <v>12</v>
      </c>
      <c r="M371" s="16"/>
      <c r="N371" s="12">
        <v>209</v>
      </c>
      <c r="O371" s="16" t="s">
        <v>597</v>
      </c>
      <c r="P371" s="16"/>
      <c r="Q371" s="16"/>
    </row>
    <row r="372" spans="1:17" x14ac:dyDescent="0.2">
      <c r="A372" s="16" t="s">
        <v>49</v>
      </c>
      <c r="B372" s="16"/>
      <c r="C372" s="6" t="s">
        <v>1912</v>
      </c>
      <c r="D372" s="16"/>
      <c r="E372" s="6"/>
      <c r="F372" s="6"/>
      <c r="G372" s="139" t="s">
        <v>1268</v>
      </c>
      <c r="H372" s="6"/>
      <c r="I372" s="6"/>
      <c r="J372" s="16" t="s">
        <v>1791</v>
      </c>
      <c r="K372" s="16"/>
      <c r="L372" s="16"/>
      <c r="M372" s="16"/>
      <c r="N372" s="12">
        <v>433</v>
      </c>
      <c r="O372" s="16" t="s">
        <v>597</v>
      </c>
      <c r="P372" s="16"/>
      <c r="Q372" s="16"/>
    </row>
    <row r="373" spans="1:17" x14ac:dyDescent="0.2">
      <c r="A373" s="16" t="s">
        <v>49</v>
      </c>
      <c r="B373" s="16"/>
      <c r="C373" s="6" t="s">
        <v>1913</v>
      </c>
      <c r="D373" s="16"/>
      <c r="E373" s="6"/>
      <c r="F373" s="6"/>
      <c r="G373" s="139" t="s">
        <v>1269</v>
      </c>
      <c r="H373" s="6"/>
      <c r="I373" s="6"/>
      <c r="J373" s="16" t="s">
        <v>1791</v>
      </c>
      <c r="K373" s="16"/>
      <c r="L373" s="16"/>
      <c r="M373" s="16"/>
      <c r="N373" s="12">
        <v>196</v>
      </c>
      <c r="O373" s="16" t="s">
        <v>597</v>
      </c>
      <c r="P373" s="16"/>
      <c r="Q373" s="16"/>
    </row>
    <row r="374" spans="1:17" x14ac:dyDescent="0.2">
      <c r="A374" s="600" t="s">
        <v>49</v>
      </c>
      <c r="B374" s="600"/>
      <c r="C374" s="601" t="s">
        <v>1914</v>
      </c>
      <c r="D374" s="16"/>
      <c r="E374" s="6"/>
      <c r="F374" s="6"/>
      <c r="G374" s="139" t="s">
        <v>1270</v>
      </c>
      <c r="H374" s="6"/>
      <c r="I374" s="6"/>
      <c r="J374" s="16" t="s">
        <v>1791</v>
      </c>
      <c r="K374" s="16"/>
      <c r="L374" s="16"/>
      <c r="M374" s="16"/>
      <c r="N374" s="12">
        <v>430</v>
      </c>
      <c r="O374" s="16" t="s">
        <v>597</v>
      </c>
      <c r="P374" s="16"/>
      <c r="Q374" s="16"/>
    </row>
    <row r="375" spans="1:17" x14ac:dyDescent="0.2">
      <c r="A375" s="600" t="s">
        <v>49</v>
      </c>
      <c r="B375" s="600"/>
      <c r="C375" s="601" t="s">
        <v>1915</v>
      </c>
      <c r="D375" s="16"/>
      <c r="E375" s="6"/>
      <c r="F375" s="6"/>
      <c r="G375" s="139" t="s">
        <v>1271</v>
      </c>
      <c r="H375" s="6"/>
      <c r="I375" s="6"/>
      <c r="J375" s="16" t="s">
        <v>1791</v>
      </c>
      <c r="K375" s="16"/>
      <c r="L375" s="16"/>
      <c r="M375" s="16"/>
      <c r="N375" s="12">
        <v>426</v>
      </c>
      <c r="O375" s="16" t="s">
        <v>597</v>
      </c>
      <c r="P375" s="16"/>
      <c r="Q375" s="16"/>
    </row>
    <row r="376" spans="1:17" x14ac:dyDescent="0.2">
      <c r="A376" s="16" t="s">
        <v>49</v>
      </c>
      <c r="B376" s="16"/>
      <c r="C376" s="6" t="s">
        <v>1515</v>
      </c>
      <c r="D376" s="16"/>
      <c r="E376" s="6"/>
      <c r="F376" s="6"/>
      <c r="G376" s="139" t="s">
        <v>1272</v>
      </c>
      <c r="H376" s="6"/>
      <c r="I376" s="6"/>
      <c r="J376" s="16" t="s">
        <v>1791</v>
      </c>
      <c r="K376" s="16"/>
      <c r="L376" s="16"/>
      <c r="M376" s="16"/>
      <c r="N376" s="12">
        <v>424</v>
      </c>
      <c r="O376" s="16"/>
      <c r="P376" s="16"/>
      <c r="Q376" s="16"/>
    </row>
    <row r="378" spans="1:17" x14ac:dyDescent="0.2">
      <c r="G378" s="148"/>
    </row>
    <row r="379" spans="1:17" ht="16.25" customHeight="1" x14ac:dyDescent="0.2">
      <c r="A379" s="142" t="s">
        <v>2104</v>
      </c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</row>
    <row r="380" spans="1:17" ht="16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</row>
    <row r="381" spans="1:17" ht="51" customHeight="1" x14ac:dyDescent="0.2">
      <c r="A381" s="28" t="s">
        <v>0</v>
      </c>
      <c r="B381" s="34" t="s">
        <v>115</v>
      </c>
      <c r="C381" s="29" t="s">
        <v>1</v>
      </c>
      <c r="D381" s="29" t="s">
        <v>320</v>
      </c>
      <c r="E381" s="30"/>
      <c r="F381" s="31" t="s">
        <v>443</v>
      </c>
      <c r="G381" s="32" t="s">
        <v>2</v>
      </c>
      <c r="H381" s="32" t="s">
        <v>614</v>
      </c>
      <c r="I381" s="32" t="s">
        <v>615</v>
      </c>
      <c r="J381" s="33" t="s">
        <v>3</v>
      </c>
      <c r="K381" s="33" t="s">
        <v>4</v>
      </c>
      <c r="L381" s="33" t="s">
        <v>5</v>
      </c>
      <c r="M381" s="30"/>
      <c r="N381" s="34" t="s">
        <v>6</v>
      </c>
      <c r="O381" s="35" t="s">
        <v>7</v>
      </c>
      <c r="P381" s="34" t="s">
        <v>8</v>
      </c>
      <c r="Q381" s="34" t="s">
        <v>111</v>
      </c>
    </row>
    <row r="384" spans="1:17" x14ac:dyDescent="0.2">
      <c r="A384" s="16" t="s">
        <v>2105</v>
      </c>
      <c r="B384" s="16"/>
      <c r="C384" s="6"/>
      <c r="D384" s="16" t="s">
        <v>2105</v>
      </c>
      <c r="E384" s="6"/>
      <c r="F384" s="6"/>
      <c r="G384" s="218" t="s">
        <v>2106</v>
      </c>
      <c r="H384" s="6"/>
      <c r="I384" s="255">
        <v>39254</v>
      </c>
      <c r="J384" s="16"/>
      <c r="K384" s="16"/>
      <c r="L384" s="16">
        <v>7</v>
      </c>
      <c r="M384" s="16"/>
      <c r="N384" s="12">
        <v>542082935</v>
      </c>
      <c r="O384" s="16" t="s">
        <v>597</v>
      </c>
      <c r="P384" s="16"/>
      <c r="Q384" s="16"/>
    </row>
  </sheetData>
  <sortState xmlns:xlrd2="http://schemas.microsoft.com/office/spreadsheetml/2017/richdata2" ref="A49:Q61">
    <sortCondition ref="A49:A61"/>
  </sortState>
  <mergeCells count="453">
    <mergeCell ref="P225:P227"/>
    <mergeCell ref="Q225:Q227"/>
    <mergeCell ref="K225:K227"/>
    <mergeCell ref="L225:L227"/>
    <mergeCell ref="M225:M227"/>
    <mergeCell ref="N225:N227"/>
    <mergeCell ref="L231:L233"/>
    <mergeCell ref="M231:M233"/>
    <mergeCell ref="N231:N233"/>
    <mergeCell ref="O231:O233"/>
    <mergeCell ref="P231:P233"/>
    <mergeCell ref="Q231:Q233"/>
    <mergeCell ref="K228:K230"/>
    <mergeCell ref="L228:L230"/>
    <mergeCell ref="M228:M230"/>
    <mergeCell ref="N228:N230"/>
    <mergeCell ref="I323:I325"/>
    <mergeCell ref="C323:C325"/>
    <mergeCell ref="D323:D325"/>
    <mergeCell ref="E323:E325"/>
    <mergeCell ref="H323:H325"/>
    <mergeCell ref="Q210:Q212"/>
    <mergeCell ref="K222:K224"/>
    <mergeCell ref="L222:L224"/>
    <mergeCell ref="M222:M224"/>
    <mergeCell ref="N222:N224"/>
    <mergeCell ref="O216:O218"/>
    <mergeCell ref="P216:P218"/>
    <mergeCell ref="Q216:Q218"/>
    <mergeCell ref="K219:K221"/>
    <mergeCell ref="L219:L221"/>
    <mergeCell ref="M219:M221"/>
    <mergeCell ref="N219:N221"/>
    <mergeCell ref="O219:O221"/>
    <mergeCell ref="P219:P221"/>
    <mergeCell ref="Q219:Q221"/>
    <mergeCell ref="N216:N218"/>
    <mergeCell ref="O222:O224"/>
    <mergeCell ref="P222:P224"/>
    <mergeCell ref="Q222:Q224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Q323:Q325"/>
    <mergeCell ref="K328:K330"/>
    <mergeCell ref="L328:L330"/>
    <mergeCell ref="M328:M330"/>
    <mergeCell ref="N328:N330"/>
    <mergeCell ref="O328:O330"/>
    <mergeCell ref="P328:P330"/>
    <mergeCell ref="Q328:Q330"/>
    <mergeCell ref="J323:J325"/>
    <mergeCell ref="J328:J330"/>
    <mergeCell ref="O288:O290"/>
    <mergeCell ref="J216:J218"/>
    <mergeCell ref="J219:J221"/>
    <mergeCell ref="J222:J224"/>
    <mergeCell ref="J225:J227"/>
    <mergeCell ref="J228:J230"/>
    <mergeCell ref="J231:J233"/>
    <mergeCell ref="K216:K218"/>
    <mergeCell ref="L216:L218"/>
    <mergeCell ref="M216:M218"/>
    <mergeCell ref="N264:N266"/>
    <mergeCell ref="O264:O266"/>
    <mergeCell ref="O302:O304"/>
    <mergeCell ref="J210:J212"/>
    <mergeCell ref="L210:L212"/>
    <mergeCell ref="M210:M212"/>
    <mergeCell ref="N210:N212"/>
    <mergeCell ref="O210:O212"/>
    <mergeCell ref="K210:K212"/>
    <mergeCell ref="P210:P212"/>
    <mergeCell ref="K323:K325"/>
    <mergeCell ref="L323:L325"/>
    <mergeCell ref="M323:M325"/>
    <mergeCell ref="N323:N325"/>
    <mergeCell ref="O323:O325"/>
    <mergeCell ref="P323:P325"/>
    <mergeCell ref="O272:O274"/>
    <mergeCell ref="P272:P274"/>
    <mergeCell ref="O276:O278"/>
    <mergeCell ref="P276:P278"/>
    <mergeCell ref="M282:M284"/>
    <mergeCell ref="N282:N284"/>
    <mergeCell ref="O282:O284"/>
    <mergeCell ref="P282:P284"/>
    <mergeCell ref="M288:M290"/>
    <mergeCell ref="N288:N290"/>
    <mergeCell ref="A291:A293"/>
    <mergeCell ref="A294:A296"/>
    <mergeCell ref="A298:A300"/>
    <mergeCell ref="A272:A274"/>
    <mergeCell ref="A276:A278"/>
    <mergeCell ref="A279:A281"/>
    <mergeCell ref="A282:A284"/>
    <mergeCell ref="A285:A287"/>
    <mergeCell ref="A288:A290"/>
    <mergeCell ref="A302:A304"/>
    <mergeCell ref="Q272:Q274"/>
    <mergeCell ref="M272:M274"/>
    <mergeCell ref="H272:H274"/>
    <mergeCell ref="I272:I274"/>
    <mergeCell ref="J272:J274"/>
    <mergeCell ref="K272:K274"/>
    <mergeCell ref="L272:L274"/>
    <mergeCell ref="C272:C274"/>
    <mergeCell ref="B272:B274"/>
    <mergeCell ref="D272:D274"/>
    <mergeCell ref="F272:F274"/>
    <mergeCell ref="G272:G274"/>
    <mergeCell ref="E272:E274"/>
    <mergeCell ref="B276:B278"/>
    <mergeCell ref="C276:C278"/>
    <mergeCell ref="D276:D278"/>
    <mergeCell ref="F276:F278"/>
    <mergeCell ref="G276:G278"/>
    <mergeCell ref="E276:E278"/>
    <mergeCell ref="N272:N274"/>
    <mergeCell ref="M276:M278"/>
    <mergeCell ref="N276:N278"/>
    <mergeCell ref="Q276:Q278"/>
    <mergeCell ref="H276:H278"/>
    <mergeCell ref="I276:I278"/>
    <mergeCell ref="J276:J278"/>
    <mergeCell ref="K276:K278"/>
    <mergeCell ref="L276:L278"/>
    <mergeCell ref="P279:P281"/>
    <mergeCell ref="Q279:Q281"/>
    <mergeCell ref="H279:H281"/>
    <mergeCell ref="I279:I281"/>
    <mergeCell ref="J279:J281"/>
    <mergeCell ref="K279:K281"/>
    <mergeCell ref="L279:L281"/>
    <mergeCell ref="M279:M281"/>
    <mergeCell ref="N279:N281"/>
    <mergeCell ref="O279:O281"/>
    <mergeCell ref="B279:B281"/>
    <mergeCell ref="C279:C281"/>
    <mergeCell ref="D279:D281"/>
    <mergeCell ref="F279:F281"/>
    <mergeCell ref="G279:G281"/>
    <mergeCell ref="E279:E281"/>
    <mergeCell ref="B282:B284"/>
    <mergeCell ref="C282:C284"/>
    <mergeCell ref="D282:D284"/>
    <mergeCell ref="F282:F284"/>
    <mergeCell ref="G282:G284"/>
    <mergeCell ref="E282:E284"/>
    <mergeCell ref="Q282:Q284"/>
    <mergeCell ref="H282:H284"/>
    <mergeCell ref="I282:I284"/>
    <mergeCell ref="J282:J284"/>
    <mergeCell ref="K282:K284"/>
    <mergeCell ref="L282:L284"/>
    <mergeCell ref="P285:P287"/>
    <mergeCell ref="Q285:Q287"/>
    <mergeCell ref="H285:H287"/>
    <mergeCell ref="I285:I287"/>
    <mergeCell ref="J285:J287"/>
    <mergeCell ref="K285:K287"/>
    <mergeCell ref="L285:L287"/>
    <mergeCell ref="M285:M287"/>
    <mergeCell ref="N285:N287"/>
    <mergeCell ref="O285:O287"/>
    <mergeCell ref="B285:B287"/>
    <mergeCell ref="C285:C287"/>
    <mergeCell ref="D285:D287"/>
    <mergeCell ref="F285:F287"/>
    <mergeCell ref="G285:G287"/>
    <mergeCell ref="E285:E287"/>
    <mergeCell ref="B288:B290"/>
    <mergeCell ref="C288:C290"/>
    <mergeCell ref="D288:D290"/>
    <mergeCell ref="F288:F290"/>
    <mergeCell ref="G288:G290"/>
    <mergeCell ref="E288:E290"/>
    <mergeCell ref="C294:C296"/>
    <mergeCell ref="D294:D296"/>
    <mergeCell ref="F294:F296"/>
    <mergeCell ref="G294:G296"/>
    <mergeCell ref="E294:E296"/>
    <mergeCell ref="P288:P290"/>
    <mergeCell ref="Q288:Q290"/>
    <mergeCell ref="H288:H290"/>
    <mergeCell ref="I288:I290"/>
    <mergeCell ref="J288:J290"/>
    <mergeCell ref="K288:K290"/>
    <mergeCell ref="L288:L290"/>
    <mergeCell ref="P291:P293"/>
    <mergeCell ref="Q291:Q293"/>
    <mergeCell ref="H291:H293"/>
    <mergeCell ref="I291:I293"/>
    <mergeCell ref="J291:J293"/>
    <mergeCell ref="K291:K293"/>
    <mergeCell ref="L291:L293"/>
    <mergeCell ref="M291:M293"/>
    <mergeCell ref="N291:N293"/>
    <mergeCell ref="O291:O293"/>
    <mergeCell ref="M294:M296"/>
    <mergeCell ref="N294:N296"/>
    <mergeCell ref="F298:F300"/>
    <mergeCell ref="G298:G300"/>
    <mergeCell ref="E298:E300"/>
    <mergeCell ref="M298:M300"/>
    <mergeCell ref="N298:N300"/>
    <mergeCell ref="O298:O300"/>
    <mergeCell ref="O294:O296"/>
    <mergeCell ref="P294:P296"/>
    <mergeCell ref="Q294:Q296"/>
    <mergeCell ref="H294:H296"/>
    <mergeCell ref="I294:I296"/>
    <mergeCell ref="J294:J296"/>
    <mergeCell ref="K294:K296"/>
    <mergeCell ref="L294:L296"/>
    <mergeCell ref="P298:P300"/>
    <mergeCell ref="Q298:Q300"/>
    <mergeCell ref="H298:H300"/>
    <mergeCell ref="I298:I300"/>
    <mergeCell ref="J298:J300"/>
    <mergeCell ref="K298:K300"/>
    <mergeCell ref="L298:L300"/>
    <mergeCell ref="P331:P333"/>
    <mergeCell ref="Q331:Q333"/>
    <mergeCell ref="B302:B304"/>
    <mergeCell ref="C302:C304"/>
    <mergeCell ref="D302:D304"/>
    <mergeCell ref="E302:E304"/>
    <mergeCell ref="F302:F304"/>
    <mergeCell ref="G302:G304"/>
    <mergeCell ref="H302:H304"/>
    <mergeCell ref="I302:I304"/>
    <mergeCell ref="J302:J304"/>
    <mergeCell ref="P302:P304"/>
    <mergeCell ref="Q302:Q304"/>
    <mergeCell ref="K320:K322"/>
    <mergeCell ref="L320:L322"/>
    <mergeCell ref="M320:M322"/>
    <mergeCell ref="N320:N322"/>
    <mergeCell ref="O320:O322"/>
    <mergeCell ref="P320:P322"/>
    <mergeCell ref="Q320:Q322"/>
    <mergeCell ref="K302:K304"/>
    <mergeCell ref="L302:L304"/>
    <mergeCell ref="M302:M304"/>
    <mergeCell ref="N302:N304"/>
    <mergeCell ref="A331:A333"/>
    <mergeCell ref="G323:G325"/>
    <mergeCell ref="J320:J322"/>
    <mergeCell ref="B320:B322"/>
    <mergeCell ref="C320:C322"/>
    <mergeCell ref="J198:J201"/>
    <mergeCell ref="A198:A201"/>
    <mergeCell ref="Q198:Q201"/>
    <mergeCell ref="K198:K201"/>
    <mergeCell ref="L198:L201"/>
    <mergeCell ref="M198:M201"/>
    <mergeCell ref="N198:N201"/>
    <mergeCell ref="O198:O201"/>
    <mergeCell ref="C198:C201"/>
    <mergeCell ref="D198:D201"/>
    <mergeCell ref="B198:B201"/>
    <mergeCell ref="E198:E201"/>
    <mergeCell ref="F198:F201"/>
    <mergeCell ref="G198:G201"/>
    <mergeCell ref="K331:K333"/>
    <mergeCell ref="L331:L333"/>
    <mergeCell ref="M331:M333"/>
    <mergeCell ref="N331:N333"/>
    <mergeCell ref="O331:O333"/>
    <mergeCell ref="A315:C316"/>
    <mergeCell ref="P198:P201"/>
    <mergeCell ref="D320:D322"/>
    <mergeCell ref="E320:E322"/>
    <mergeCell ref="F320:F322"/>
    <mergeCell ref="G320:G322"/>
    <mergeCell ref="H320:H322"/>
    <mergeCell ref="I320:I322"/>
    <mergeCell ref="B328:B330"/>
    <mergeCell ref="C328:C330"/>
    <mergeCell ref="D328:D330"/>
    <mergeCell ref="E328:E330"/>
    <mergeCell ref="F328:F330"/>
    <mergeCell ref="G328:G330"/>
    <mergeCell ref="H328:H330"/>
    <mergeCell ref="I328:I330"/>
    <mergeCell ref="H198:H201"/>
    <mergeCell ref="I198:I201"/>
    <mergeCell ref="A323:A325"/>
    <mergeCell ref="A320:A322"/>
    <mergeCell ref="A328:A330"/>
    <mergeCell ref="B298:B300"/>
    <mergeCell ref="C298:C300"/>
    <mergeCell ref="D298:D300"/>
    <mergeCell ref="F216:F218"/>
    <mergeCell ref="G216:G218"/>
    <mergeCell ref="H216:H218"/>
    <mergeCell ref="B210:B212"/>
    <mergeCell ref="B323:B325"/>
    <mergeCell ref="I210:I212"/>
    <mergeCell ref="I216:I218"/>
    <mergeCell ref="H219:H221"/>
    <mergeCell ref="I219:I221"/>
    <mergeCell ref="H210:H212"/>
    <mergeCell ref="I222:I224"/>
    <mergeCell ref="H258:H260"/>
    <mergeCell ref="H222:H224"/>
    <mergeCell ref="B291:B293"/>
    <mergeCell ref="C291:C293"/>
    <mergeCell ref="D291:D293"/>
    <mergeCell ref="F291:F293"/>
    <mergeCell ref="G291:G293"/>
    <mergeCell ref="E291:E293"/>
    <mergeCell ref="B294:B296"/>
    <mergeCell ref="C210:C212"/>
    <mergeCell ref="D210:D212"/>
    <mergeCell ref="E210:E212"/>
    <mergeCell ref="F323:F325"/>
    <mergeCell ref="A210:A212"/>
    <mergeCell ref="F210:F212"/>
    <mergeCell ref="G210:G212"/>
    <mergeCell ref="F219:F221"/>
    <mergeCell ref="G219:G221"/>
    <mergeCell ref="A241:A243"/>
    <mergeCell ref="A247:A249"/>
    <mergeCell ref="A216:A218"/>
    <mergeCell ref="C258:C260"/>
    <mergeCell ref="D258:D260"/>
    <mergeCell ref="E258:E260"/>
    <mergeCell ref="F258:F260"/>
    <mergeCell ref="G258:G260"/>
    <mergeCell ref="F222:F224"/>
    <mergeCell ref="G222:G224"/>
    <mergeCell ref="A231:A233"/>
    <mergeCell ref="A219:A221"/>
    <mergeCell ref="A222:A224"/>
    <mergeCell ref="A225:A227"/>
    <mergeCell ref="A228:A230"/>
    <mergeCell ref="B241:B243"/>
    <mergeCell ref="C241:C243"/>
    <mergeCell ref="D241:D243"/>
    <mergeCell ref="E241:E243"/>
    <mergeCell ref="A253:A255"/>
    <mergeCell ref="A258:A260"/>
    <mergeCell ref="A261:A263"/>
    <mergeCell ref="A264:A266"/>
    <mergeCell ref="K241:K243"/>
    <mergeCell ref="L241:L243"/>
    <mergeCell ref="M241:M243"/>
    <mergeCell ref="N241:N243"/>
    <mergeCell ref="O241:O243"/>
    <mergeCell ref="L247:L249"/>
    <mergeCell ref="M247:M249"/>
    <mergeCell ref="N247:N249"/>
    <mergeCell ref="O247:O249"/>
    <mergeCell ref="G247:G249"/>
    <mergeCell ref="H247:H249"/>
    <mergeCell ref="I247:I249"/>
    <mergeCell ref="J247:J249"/>
    <mergeCell ref="K258:K260"/>
    <mergeCell ref="I258:I260"/>
    <mergeCell ref="L258:L260"/>
    <mergeCell ref="M258:M260"/>
    <mergeCell ref="N258:N260"/>
    <mergeCell ref="O258:O260"/>
    <mergeCell ref="M264:M266"/>
    <mergeCell ref="P241:P243"/>
    <mergeCell ref="Q241:Q243"/>
    <mergeCell ref="F225:F227"/>
    <mergeCell ref="G225:G227"/>
    <mergeCell ref="H225:H227"/>
    <mergeCell ref="I225:I227"/>
    <mergeCell ref="F228:F230"/>
    <mergeCell ref="G228:G230"/>
    <mergeCell ref="H228:H230"/>
    <mergeCell ref="I228:I230"/>
    <mergeCell ref="F231:F233"/>
    <mergeCell ref="G231:G233"/>
    <mergeCell ref="H231:H233"/>
    <mergeCell ref="I231:I233"/>
    <mergeCell ref="F241:F243"/>
    <mergeCell ref="G241:G243"/>
    <mergeCell ref="H241:H243"/>
    <mergeCell ref="I241:I243"/>
    <mergeCell ref="J241:J243"/>
    <mergeCell ref="O225:O227"/>
    <mergeCell ref="O228:O230"/>
    <mergeCell ref="P228:P230"/>
    <mergeCell ref="Q228:Q230"/>
    <mergeCell ref="K231:K233"/>
    <mergeCell ref="P247:P249"/>
    <mergeCell ref="Q247:Q249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L253:L255"/>
    <mergeCell ref="M253:M255"/>
    <mergeCell ref="N253:N255"/>
    <mergeCell ref="O253:O255"/>
    <mergeCell ref="P253:P255"/>
    <mergeCell ref="Q253:Q255"/>
    <mergeCell ref="B247:B249"/>
    <mergeCell ref="C247:C249"/>
    <mergeCell ref="K247:K249"/>
    <mergeCell ref="D247:D249"/>
    <mergeCell ref="E247:E249"/>
    <mergeCell ref="F247:F249"/>
    <mergeCell ref="P258:P260"/>
    <mergeCell ref="Q258:Q260"/>
    <mergeCell ref="B261:B263"/>
    <mergeCell ref="C261:C263"/>
    <mergeCell ref="D261:D263"/>
    <mergeCell ref="E261:E263"/>
    <mergeCell ref="F261:F263"/>
    <mergeCell ref="G261:G263"/>
    <mergeCell ref="H261:H263"/>
    <mergeCell ref="I261:I263"/>
    <mergeCell ref="J261:J263"/>
    <mergeCell ref="K261:K263"/>
    <mergeCell ref="L261:L263"/>
    <mergeCell ref="M261:M263"/>
    <mergeCell ref="N261:N263"/>
    <mergeCell ref="O261:O263"/>
    <mergeCell ref="P261:P263"/>
    <mergeCell ref="Q261:Q263"/>
    <mergeCell ref="B258:B260"/>
    <mergeCell ref="J258:J260"/>
    <mergeCell ref="P264:P266"/>
    <mergeCell ref="Q264:Q266"/>
    <mergeCell ref="B264:B266"/>
    <mergeCell ref="C264:C266"/>
    <mergeCell ref="D264:D266"/>
    <mergeCell ref="E264:E266"/>
    <mergeCell ref="F264:F266"/>
    <mergeCell ref="G264:G266"/>
    <mergeCell ref="H264:H266"/>
    <mergeCell ref="I264:I266"/>
    <mergeCell ref="J264:J266"/>
    <mergeCell ref="K264:K266"/>
    <mergeCell ref="L264:L266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59FA-92B2-7646-A2E0-A4394FCAA994}">
  <sheetPr>
    <pageSetUpPr fitToPage="1"/>
  </sheetPr>
  <dimension ref="B1:W285"/>
  <sheetViews>
    <sheetView tabSelected="1" zoomScale="60" zoomScaleNormal="60" workbookViewId="0">
      <pane ySplit="4" topLeftCell="A5" activePane="bottomLeft" state="frozen"/>
      <selection pane="bottomLeft" activeCell="A101" sqref="A101:XFD101"/>
    </sheetView>
  </sheetViews>
  <sheetFormatPr baseColWidth="10" defaultColWidth="11" defaultRowHeight="16" x14ac:dyDescent="0.2"/>
  <cols>
    <col min="1" max="1" width="11" style="40"/>
    <col min="2" max="2" width="21" style="40" customWidth="1"/>
    <col min="3" max="3" width="28.33203125" style="47" customWidth="1"/>
    <col min="4" max="4" width="24.6640625" style="40" customWidth="1"/>
    <col min="5" max="5" width="30.1640625" style="40" customWidth="1"/>
    <col min="6" max="6" width="33.33203125" style="40" customWidth="1"/>
    <col min="7" max="7" width="29.1640625" style="40" customWidth="1"/>
    <col min="8" max="8" width="34" style="40" customWidth="1"/>
    <col min="9" max="9" width="21.1640625" style="40" customWidth="1"/>
    <col min="10" max="10" width="22.6640625" style="40" customWidth="1"/>
    <col min="11" max="11" width="25.5" style="40" customWidth="1"/>
    <col min="12" max="12" width="31.1640625" style="40" customWidth="1"/>
    <col min="13" max="13" width="33.83203125" style="40" customWidth="1"/>
    <col min="14" max="14" width="14.1640625" style="40" customWidth="1"/>
    <col min="15" max="15" width="45.6640625" style="44" customWidth="1"/>
    <col min="16" max="16" width="16.6640625" style="40" customWidth="1"/>
    <col min="17" max="17" width="21.6640625" style="40" bestFit="1" customWidth="1"/>
    <col min="18" max="19" width="11" style="40"/>
    <col min="20" max="20" width="14.1640625" style="40" customWidth="1"/>
    <col min="21" max="21" width="11" style="40"/>
    <col min="22" max="22" width="12.6640625" style="40" customWidth="1"/>
    <col min="23" max="16384" width="11" style="40"/>
  </cols>
  <sheetData>
    <row r="1" spans="3:23" ht="29.75" customHeight="1" thickBot="1" x14ac:dyDescent="0.25"/>
    <row r="2" spans="3:23" s="65" customFormat="1" ht="54" customHeight="1" x14ac:dyDescent="0.2">
      <c r="C2" s="66" t="s">
        <v>149</v>
      </c>
      <c r="D2" s="67" t="s">
        <v>150</v>
      </c>
      <c r="E2" s="67" t="s">
        <v>2115</v>
      </c>
      <c r="F2" s="67" t="s">
        <v>2121</v>
      </c>
      <c r="G2" s="68" t="s">
        <v>437</v>
      </c>
      <c r="H2" s="68" t="s">
        <v>153</v>
      </c>
      <c r="I2" s="68" t="s">
        <v>1477</v>
      </c>
      <c r="J2" s="68" t="s">
        <v>151</v>
      </c>
      <c r="K2" s="68" t="s">
        <v>152</v>
      </c>
      <c r="L2" s="68" t="s">
        <v>2116</v>
      </c>
      <c r="M2" s="68" t="s">
        <v>416</v>
      </c>
      <c r="N2" s="68" t="s">
        <v>1472</v>
      </c>
      <c r="O2" s="68" t="s">
        <v>155</v>
      </c>
      <c r="P2" s="68" t="s">
        <v>156</v>
      </c>
      <c r="Q2" s="69" t="s">
        <v>154</v>
      </c>
      <c r="R2" s="792" t="s">
        <v>438</v>
      </c>
      <c r="S2" s="793"/>
      <c r="T2" s="794"/>
      <c r="U2" s="74" t="s">
        <v>480</v>
      </c>
      <c r="V2" s="74" t="s">
        <v>490</v>
      </c>
      <c r="W2" s="74" t="s">
        <v>491</v>
      </c>
    </row>
    <row r="3" spans="3:23" s="65" customFormat="1" ht="43" customHeight="1" thickBot="1" x14ac:dyDescent="0.25">
      <c r="C3" s="70"/>
      <c r="D3" s="71" t="s">
        <v>439</v>
      </c>
      <c r="E3" s="72"/>
      <c r="F3" s="72" t="s">
        <v>2122</v>
      </c>
      <c r="G3" s="73"/>
      <c r="H3" s="73"/>
      <c r="I3" s="73"/>
      <c r="J3" s="73"/>
      <c r="K3" s="73"/>
      <c r="L3" s="73"/>
      <c r="M3" s="73"/>
      <c r="N3" s="73"/>
      <c r="O3" s="73"/>
      <c r="P3" s="74"/>
      <c r="Q3" s="74" t="s">
        <v>157</v>
      </c>
      <c r="R3" s="74" t="s">
        <v>440</v>
      </c>
      <c r="S3" s="74" t="s">
        <v>441</v>
      </c>
      <c r="T3" s="75" t="s">
        <v>442</v>
      </c>
      <c r="U3" s="74"/>
      <c r="V3" s="74"/>
      <c r="W3" s="74"/>
    </row>
    <row r="4" spans="3:23" s="65" customFormat="1" ht="33" customHeight="1" x14ac:dyDescent="0.2">
      <c r="C4" s="76"/>
      <c r="D4" s="77"/>
      <c r="E4" s="78"/>
      <c r="F4" s="78"/>
      <c r="G4" s="79"/>
      <c r="H4" s="79"/>
      <c r="I4" s="79"/>
      <c r="J4" s="79"/>
      <c r="K4" s="79"/>
      <c r="L4" s="80"/>
      <c r="M4" s="80"/>
      <c r="N4" s="20"/>
      <c r="O4" s="20"/>
      <c r="P4" s="20"/>
      <c r="Q4" s="20"/>
      <c r="R4" s="20"/>
      <c r="S4" s="20"/>
      <c r="T4" s="20"/>
      <c r="U4" s="20"/>
    </row>
    <row r="5" spans="3:23" s="39" customFormat="1" ht="16.25" customHeight="1" x14ac:dyDescent="0.2">
      <c r="C5" s="56" t="s">
        <v>435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5"/>
      <c r="O5" s="86"/>
      <c r="P5" s="86"/>
      <c r="Q5" s="86"/>
      <c r="R5" s="86"/>
      <c r="S5" s="86"/>
      <c r="T5" s="86"/>
    </row>
    <row r="6" spans="3:23" s="39" customFormat="1" ht="16.25" customHeight="1" thickBot="1" x14ac:dyDescent="0.25">
      <c r="C6" s="62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86"/>
      <c r="P6" s="86"/>
      <c r="Q6" s="86"/>
      <c r="R6" s="86"/>
      <c r="S6" s="86"/>
      <c r="T6" s="86"/>
    </row>
    <row r="7" spans="3:23" ht="15.5" customHeight="1" x14ac:dyDescent="0.2">
      <c r="C7" s="417" t="s">
        <v>158</v>
      </c>
      <c r="D7" s="204" t="s">
        <v>159</v>
      </c>
      <c r="E7" s="204"/>
      <c r="F7" s="231"/>
      <c r="G7" s="204"/>
      <c r="H7" s="204"/>
      <c r="I7" s="204"/>
      <c r="J7" s="204" t="s">
        <v>49</v>
      </c>
      <c r="K7" s="204" t="s">
        <v>160</v>
      </c>
      <c r="L7" s="204"/>
      <c r="M7" s="204"/>
      <c r="N7" s="280"/>
      <c r="O7" s="100" t="s">
        <v>161</v>
      </c>
      <c r="P7" s="230"/>
      <c r="Q7" s="787" t="s">
        <v>162</v>
      </c>
      <c r="R7" s="806" t="s">
        <v>114</v>
      </c>
      <c r="S7" s="806" t="s">
        <v>610</v>
      </c>
      <c r="T7" s="810"/>
    </row>
    <row r="8" spans="3:23" ht="17" x14ac:dyDescent="0.2">
      <c r="C8" s="418" t="s">
        <v>158</v>
      </c>
      <c r="D8" s="12" t="s">
        <v>163</v>
      </c>
      <c r="E8" s="12"/>
      <c r="F8" s="60"/>
      <c r="G8" s="12"/>
      <c r="H8" s="12"/>
      <c r="I8" s="12"/>
      <c r="J8" s="12" t="s">
        <v>49</v>
      </c>
      <c r="K8" s="12"/>
      <c r="L8" s="12"/>
      <c r="M8" s="12"/>
      <c r="N8" s="46"/>
      <c r="O8" s="51" t="s">
        <v>164</v>
      </c>
      <c r="P8" s="45"/>
      <c r="Q8" s="769"/>
      <c r="R8" s="807"/>
      <c r="S8" s="807"/>
      <c r="T8" s="811"/>
    </row>
    <row r="9" spans="3:23" ht="17" x14ac:dyDescent="0.2">
      <c r="C9" s="418" t="s">
        <v>158</v>
      </c>
      <c r="D9" s="12"/>
      <c r="E9" s="12"/>
      <c r="F9" s="60"/>
      <c r="G9" s="12"/>
      <c r="H9" s="12"/>
      <c r="I9" s="12"/>
      <c r="J9" s="12"/>
      <c r="K9" s="12" t="s">
        <v>160</v>
      </c>
      <c r="L9" s="12"/>
      <c r="M9" s="12"/>
      <c r="N9" s="46"/>
      <c r="O9" s="51" t="s">
        <v>165</v>
      </c>
      <c r="P9" s="45"/>
      <c r="Q9" s="769"/>
      <c r="R9" s="807"/>
      <c r="S9" s="807"/>
      <c r="T9" s="811"/>
    </row>
    <row r="10" spans="3:23" ht="18" thickBot="1" x14ac:dyDescent="0.25">
      <c r="C10" s="419" t="s">
        <v>158</v>
      </c>
      <c r="D10" s="134" t="s">
        <v>166</v>
      </c>
      <c r="E10" s="134"/>
      <c r="F10" s="243"/>
      <c r="G10" s="134"/>
      <c r="H10" s="134"/>
      <c r="I10" s="134"/>
      <c r="J10" s="134" t="s">
        <v>160</v>
      </c>
      <c r="K10" s="134" t="s">
        <v>160</v>
      </c>
      <c r="L10" s="134"/>
      <c r="M10" s="134"/>
      <c r="N10" s="279"/>
      <c r="O10" s="189" t="s">
        <v>167</v>
      </c>
      <c r="P10" s="209"/>
      <c r="Q10" s="788"/>
      <c r="R10" s="808"/>
      <c r="S10" s="808"/>
      <c r="T10" s="812"/>
    </row>
    <row r="11" spans="3:23" ht="17" x14ac:dyDescent="0.2">
      <c r="C11" s="417" t="s">
        <v>158</v>
      </c>
      <c r="D11" s="204" t="s">
        <v>168</v>
      </c>
      <c r="E11" s="204"/>
      <c r="F11" s="231" t="s">
        <v>2405</v>
      </c>
      <c r="G11" s="204"/>
      <c r="H11" s="204"/>
      <c r="I11" s="204"/>
      <c r="J11" s="204" t="s">
        <v>2411</v>
      </c>
      <c r="K11" s="12" t="s">
        <v>2408</v>
      </c>
      <c r="L11" s="704" t="s">
        <v>2412</v>
      </c>
      <c r="M11" s="204"/>
      <c r="N11" s="280"/>
      <c r="O11" s="100" t="s">
        <v>170</v>
      </c>
      <c r="P11" s="795">
        <v>7055</v>
      </c>
      <c r="Q11" s="787" t="s">
        <v>171</v>
      </c>
      <c r="R11" s="806" t="s">
        <v>454</v>
      </c>
      <c r="S11" s="806" t="s">
        <v>611</v>
      </c>
      <c r="T11" s="810"/>
    </row>
    <row r="12" spans="3:23" ht="17" x14ac:dyDescent="0.2">
      <c r="C12" s="418" t="s">
        <v>158</v>
      </c>
      <c r="D12" s="12"/>
      <c r="E12" s="12"/>
      <c r="F12" s="60"/>
      <c r="G12" s="12"/>
      <c r="H12" s="12"/>
      <c r="I12" s="12"/>
      <c r="J12" s="12"/>
      <c r="K12" s="12"/>
      <c r="L12" s="12"/>
      <c r="M12" s="12"/>
      <c r="N12" s="46"/>
      <c r="O12" s="51" t="s">
        <v>172</v>
      </c>
      <c r="P12" s="796"/>
      <c r="Q12" s="769"/>
      <c r="R12" s="807"/>
      <c r="S12" s="807"/>
      <c r="T12" s="811"/>
    </row>
    <row r="13" spans="3:23" ht="17" x14ac:dyDescent="0.2">
      <c r="C13" s="418" t="s">
        <v>158</v>
      </c>
      <c r="D13" s="12" t="s">
        <v>173</v>
      </c>
      <c r="E13" s="12"/>
      <c r="F13" s="60" t="s">
        <v>2406</v>
      </c>
      <c r="G13" s="12"/>
      <c r="H13" s="12"/>
      <c r="I13" s="12"/>
      <c r="J13" s="12" t="s">
        <v>2407</v>
      </c>
      <c r="L13" s="12" t="s">
        <v>169</v>
      </c>
      <c r="M13" s="12" t="s">
        <v>2409</v>
      </c>
      <c r="N13" s="46"/>
      <c r="O13" s="51" t="s">
        <v>174</v>
      </c>
      <c r="P13" s="809">
        <v>7346</v>
      </c>
      <c r="Q13" s="769"/>
      <c r="R13" s="807"/>
      <c r="S13" s="807"/>
      <c r="T13" s="811"/>
    </row>
    <row r="14" spans="3:23" ht="17" thickBot="1" x14ac:dyDescent="0.25">
      <c r="C14" s="419"/>
      <c r="D14" s="134"/>
      <c r="E14" s="134"/>
      <c r="F14" s="243"/>
      <c r="G14" s="134"/>
      <c r="H14" s="134"/>
      <c r="I14" s="134"/>
      <c r="J14" s="134"/>
      <c r="K14" s="134"/>
      <c r="L14" s="134"/>
      <c r="M14" s="134" t="s">
        <v>2410</v>
      </c>
      <c r="N14" s="279"/>
      <c r="O14" s="189"/>
      <c r="P14" s="805"/>
      <c r="Q14" s="788"/>
      <c r="R14" s="808"/>
      <c r="S14" s="808"/>
      <c r="T14" s="812"/>
    </row>
    <row r="15" spans="3:23" x14ac:dyDescent="0.2">
      <c r="C15" s="155" t="s">
        <v>158</v>
      </c>
      <c r="D15" s="127" t="s">
        <v>175</v>
      </c>
      <c r="E15" s="127"/>
      <c r="F15" s="230"/>
      <c r="G15" s="230"/>
      <c r="H15" s="420"/>
      <c r="I15" s="230"/>
      <c r="J15" s="127" t="s">
        <v>160</v>
      </c>
      <c r="K15" s="127" t="s">
        <v>176</v>
      </c>
      <c r="L15" s="127"/>
      <c r="M15" s="230"/>
      <c r="N15" s="420"/>
      <c r="O15" s="421" t="s">
        <v>177</v>
      </c>
      <c r="P15" s="797">
        <v>7065</v>
      </c>
      <c r="Q15" s="787" t="s">
        <v>178</v>
      </c>
      <c r="R15" s="806" t="s">
        <v>459</v>
      </c>
      <c r="S15" s="806" t="s">
        <v>611</v>
      </c>
      <c r="T15" s="242"/>
    </row>
    <row r="16" spans="3:23" x14ac:dyDescent="0.2">
      <c r="C16" s="157" t="s">
        <v>158</v>
      </c>
      <c r="D16" s="42" t="s">
        <v>179</v>
      </c>
      <c r="E16" s="42"/>
      <c r="F16" s="45"/>
      <c r="G16" s="45"/>
      <c r="H16" s="59"/>
      <c r="I16" s="45"/>
      <c r="J16" s="42" t="s">
        <v>160</v>
      </c>
      <c r="K16" s="42" t="s">
        <v>176</v>
      </c>
      <c r="L16" s="42"/>
      <c r="M16" s="45"/>
      <c r="N16" s="59"/>
      <c r="O16" s="49" t="s">
        <v>180</v>
      </c>
      <c r="P16" s="798"/>
      <c r="Q16" s="769"/>
      <c r="R16" s="807"/>
      <c r="S16" s="807"/>
      <c r="T16" s="235"/>
    </row>
    <row r="17" spans="3:20" x14ac:dyDescent="0.2">
      <c r="C17" s="157" t="s">
        <v>158</v>
      </c>
      <c r="D17" s="42" t="s">
        <v>181</v>
      </c>
      <c r="E17" s="42"/>
      <c r="F17" s="45"/>
      <c r="G17" s="45"/>
      <c r="H17" s="49"/>
      <c r="I17" s="45"/>
      <c r="J17" s="42" t="s">
        <v>160</v>
      </c>
      <c r="K17" s="42" t="s">
        <v>160</v>
      </c>
      <c r="L17" s="42"/>
      <c r="M17" s="45"/>
      <c r="N17" s="49"/>
      <c r="O17" s="43" t="s">
        <v>182</v>
      </c>
      <c r="P17" s="49">
        <v>7067</v>
      </c>
      <c r="Q17" s="769"/>
      <c r="R17" s="807"/>
      <c r="S17" s="807"/>
      <c r="T17" s="235"/>
    </row>
    <row r="18" spans="3:20" ht="17" thickBot="1" x14ac:dyDescent="0.25">
      <c r="C18" s="159" t="s">
        <v>158</v>
      </c>
      <c r="D18" s="128" t="s">
        <v>183</v>
      </c>
      <c r="E18" s="128"/>
      <c r="F18" s="209"/>
      <c r="G18" s="209"/>
      <c r="H18" s="422"/>
      <c r="I18" s="209"/>
      <c r="J18" s="128" t="s">
        <v>160</v>
      </c>
      <c r="K18" s="128" t="s">
        <v>160</v>
      </c>
      <c r="L18" s="128"/>
      <c r="M18" s="209"/>
      <c r="N18" s="422"/>
      <c r="O18" s="423" t="s">
        <v>182</v>
      </c>
      <c r="P18" s="422">
        <v>7068</v>
      </c>
      <c r="Q18" s="788"/>
      <c r="R18" s="808"/>
      <c r="S18" s="808"/>
      <c r="T18" s="239"/>
    </row>
    <row r="19" spans="3:20" x14ac:dyDescent="0.2">
      <c r="C19" s="155" t="s">
        <v>158</v>
      </c>
      <c r="D19" s="127" t="s">
        <v>184</v>
      </c>
      <c r="E19" s="127"/>
      <c r="F19" s="230"/>
      <c r="G19" s="230"/>
      <c r="H19" s="420"/>
      <c r="I19" s="230"/>
      <c r="J19" s="127" t="s">
        <v>160</v>
      </c>
      <c r="K19" s="127" t="s">
        <v>176</v>
      </c>
      <c r="L19" s="127"/>
      <c r="M19" s="230"/>
      <c r="N19" s="420"/>
      <c r="O19" s="421" t="s">
        <v>177</v>
      </c>
      <c r="P19" s="797">
        <v>7070</v>
      </c>
      <c r="Q19" s="795" t="s">
        <v>185</v>
      </c>
      <c r="R19" s="806" t="s">
        <v>459</v>
      </c>
      <c r="S19" s="806" t="s">
        <v>611</v>
      </c>
      <c r="T19" s="242"/>
    </row>
    <row r="20" spans="3:20" x14ac:dyDescent="0.2">
      <c r="C20" s="157" t="s">
        <v>158</v>
      </c>
      <c r="D20" s="42" t="s">
        <v>186</v>
      </c>
      <c r="E20" s="42"/>
      <c r="F20" s="45"/>
      <c r="G20" s="45"/>
      <c r="H20" s="59"/>
      <c r="I20" s="45"/>
      <c r="J20" s="42" t="s">
        <v>160</v>
      </c>
      <c r="K20" s="42" t="s">
        <v>176</v>
      </c>
      <c r="L20" s="42"/>
      <c r="M20" s="45"/>
      <c r="N20" s="59"/>
      <c r="O20" s="49" t="s">
        <v>180</v>
      </c>
      <c r="P20" s="798"/>
      <c r="Q20" s="804"/>
      <c r="R20" s="807"/>
      <c r="S20" s="807"/>
      <c r="T20" s="235"/>
    </row>
    <row r="21" spans="3:20" x14ac:dyDescent="0.2">
      <c r="C21" s="157" t="s">
        <v>158</v>
      </c>
      <c r="D21" s="42" t="s">
        <v>187</v>
      </c>
      <c r="E21" s="42"/>
      <c r="F21" s="45"/>
      <c r="G21" s="45"/>
      <c r="H21" s="59"/>
      <c r="I21" s="45"/>
      <c r="J21" s="42" t="s">
        <v>160</v>
      </c>
      <c r="K21" s="42" t="s">
        <v>176</v>
      </c>
      <c r="L21" s="42"/>
      <c r="M21" s="45"/>
      <c r="N21" s="59"/>
      <c r="O21" s="49" t="s">
        <v>177</v>
      </c>
      <c r="P21" s="798">
        <v>7069</v>
      </c>
      <c r="Q21" s="804"/>
      <c r="R21" s="807"/>
      <c r="S21" s="807"/>
      <c r="T21" s="235"/>
    </row>
    <row r="22" spans="3:20" x14ac:dyDescent="0.2">
      <c r="C22" s="157" t="s">
        <v>158</v>
      </c>
      <c r="D22" s="42" t="s">
        <v>188</v>
      </c>
      <c r="E22" s="42"/>
      <c r="F22" s="45"/>
      <c r="G22" s="45"/>
      <c r="H22" s="59"/>
      <c r="I22" s="45"/>
      <c r="J22" s="42" t="s">
        <v>160</v>
      </c>
      <c r="K22" s="42" t="s">
        <v>176</v>
      </c>
      <c r="L22" s="42"/>
      <c r="M22" s="45"/>
      <c r="N22" s="59"/>
      <c r="O22" s="49" t="s">
        <v>180</v>
      </c>
      <c r="P22" s="798"/>
      <c r="Q22" s="804"/>
      <c r="R22" s="807"/>
      <c r="S22" s="807"/>
      <c r="T22" s="235"/>
    </row>
    <row r="23" spans="3:20" ht="17" thickBot="1" x14ac:dyDescent="0.25">
      <c r="C23" s="159" t="s">
        <v>158</v>
      </c>
      <c r="D23" s="128" t="s">
        <v>189</v>
      </c>
      <c r="E23" s="128"/>
      <c r="F23" s="209"/>
      <c r="G23" s="209"/>
      <c r="H23" s="422"/>
      <c r="I23" s="209"/>
      <c r="J23" s="128" t="s">
        <v>160</v>
      </c>
      <c r="K23" s="128" t="s">
        <v>176</v>
      </c>
      <c r="L23" s="128"/>
      <c r="M23" s="209"/>
      <c r="N23" s="422"/>
      <c r="O23" s="423" t="s">
        <v>190</v>
      </c>
      <c r="P23" s="422">
        <v>7043</v>
      </c>
      <c r="Q23" s="805"/>
      <c r="R23" s="808"/>
      <c r="S23" s="808"/>
      <c r="T23" s="239"/>
    </row>
    <row r="24" spans="3:20" ht="15.5" customHeight="1" x14ac:dyDescent="0.2">
      <c r="C24" s="155" t="s">
        <v>158</v>
      </c>
      <c r="D24" s="127" t="s">
        <v>191</v>
      </c>
      <c r="E24" s="127"/>
      <c r="F24" s="230"/>
      <c r="G24" s="230"/>
      <c r="H24" s="548"/>
      <c r="I24" s="230"/>
      <c r="J24" s="127" t="s">
        <v>160</v>
      </c>
      <c r="K24" s="127" t="s">
        <v>160</v>
      </c>
      <c r="L24" s="127"/>
      <c r="M24" s="230"/>
      <c r="N24" s="548"/>
      <c r="O24" s="421" t="s">
        <v>192</v>
      </c>
      <c r="P24" s="799"/>
      <c r="Q24" s="787" t="s">
        <v>193</v>
      </c>
      <c r="R24" s="801" t="s">
        <v>114</v>
      </c>
      <c r="S24" s="801" t="s">
        <v>610</v>
      </c>
      <c r="T24" s="242"/>
    </row>
    <row r="25" spans="3:20" x14ac:dyDescent="0.2">
      <c r="C25" s="157" t="s">
        <v>158</v>
      </c>
      <c r="D25" s="42" t="s">
        <v>194</v>
      </c>
      <c r="E25" s="42"/>
      <c r="F25" s="45"/>
      <c r="G25" s="45"/>
      <c r="H25" s="59"/>
      <c r="I25" s="45"/>
      <c r="J25" s="42" t="s">
        <v>160</v>
      </c>
      <c r="K25" s="42" t="s">
        <v>160</v>
      </c>
      <c r="L25" s="42"/>
      <c r="M25" s="45"/>
      <c r="N25" s="59"/>
      <c r="O25" s="49" t="s">
        <v>195</v>
      </c>
      <c r="P25" s="798"/>
      <c r="Q25" s="769"/>
      <c r="R25" s="802"/>
      <c r="S25" s="802"/>
      <c r="T25" s="235"/>
    </row>
    <row r="26" spans="3:20" ht="17" thickBot="1" x14ac:dyDescent="0.25">
      <c r="C26" s="159" t="s">
        <v>158</v>
      </c>
      <c r="D26" s="128" t="s">
        <v>196</v>
      </c>
      <c r="E26" s="128"/>
      <c r="F26" s="209"/>
      <c r="G26" s="209"/>
      <c r="H26" s="550"/>
      <c r="I26" s="209"/>
      <c r="J26" s="128"/>
      <c r="K26" s="549" t="s">
        <v>49</v>
      </c>
      <c r="L26" s="549"/>
      <c r="M26" s="209"/>
      <c r="N26" s="550"/>
      <c r="O26" s="422" t="s">
        <v>951</v>
      </c>
      <c r="P26" s="800"/>
      <c r="Q26" s="769"/>
      <c r="R26" s="803"/>
      <c r="S26" s="803"/>
      <c r="T26" s="239"/>
    </row>
    <row r="27" spans="3:20" x14ac:dyDescent="0.2">
      <c r="C27" s="155" t="s">
        <v>158</v>
      </c>
      <c r="D27" s="127" t="s">
        <v>198</v>
      </c>
      <c r="E27" s="127"/>
      <c r="F27" s="230"/>
      <c r="G27" s="230"/>
      <c r="H27" s="420"/>
      <c r="I27" s="230"/>
      <c r="J27" s="127" t="s">
        <v>160</v>
      </c>
      <c r="K27" s="127" t="s">
        <v>176</v>
      </c>
      <c r="L27" s="127"/>
      <c r="M27" s="230"/>
      <c r="N27" s="420"/>
      <c r="O27" s="421" t="s">
        <v>177</v>
      </c>
      <c r="P27" s="797">
        <v>7039</v>
      </c>
      <c r="Q27" s="801" t="s">
        <v>199</v>
      </c>
      <c r="R27" s="806" t="s">
        <v>459</v>
      </c>
      <c r="S27" s="806" t="s">
        <v>611</v>
      </c>
      <c r="T27" s="242"/>
    </row>
    <row r="28" spans="3:20" x14ac:dyDescent="0.2">
      <c r="C28" s="157" t="s">
        <v>158</v>
      </c>
      <c r="D28" s="42" t="s">
        <v>200</v>
      </c>
      <c r="E28" s="42"/>
      <c r="F28" s="45"/>
      <c r="G28" s="45"/>
      <c r="H28" s="59"/>
      <c r="I28" s="45"/>
      <c r="J28" s="42" t="s">
        <v>160</v>
      </c>
      <c r="K28" s="42" t="s">
        <v>176</v>
      </c>
      <c r="L28" s="42"/>
      <c r="M28" s="45"/>
      <c r="N28" s="59"/>
      <c r="O28" s="49" t="s">
        <v>180</v>
      </c>
      <c r="P28" s="798"/>
      <c r="Q28" s="802"/>
      <c r="R28" s="807"/>
      <c r="S28" s="807"/>
      <c r="T28" s="235"/>
    </row>
    <row r="29" spans="3:20" x14ac:dyDescent="0.2">
      <c r="C29" s="157" t="s">
        <v>158</v>
      </c>
      <c r="D29" s="42" t="s">
        <v>201</v>
      </c>
      <c r="E29" s="42"/>
      <c r="F29" s="45"/>
      <c r="G29" s="45"/>
      <c r="H29" s="59"/>
      <c r="I29" s="45"/>
      <c r="J29" s="42"/>
      <c r="K29" s="42" t="s">
        <v>160</v>
      </c>
      <c r="L29" s="42"/>
      <c r="M29" s="45"/>
      <c r="N29" s="59"/>
      <c r="O29" s="49" t="s">
        <v>177</v>
      </c>
      <c r="P29" s="798">
        <v>7049</v>
      </c>
      <c r="Q29" s="802"/>
      <c r="R29" s="807"/>
      <c r="S29" s="807"/>
      <c r="T29" s="235"/>
    </row>
    <row r="30" spans="3:20" x14ac:dyDescent="0.2">
      <c r="C30" s="157" t="s">
        <v>158</v>
      </c>
      <c r="D30" s="42" t="s">
        <v>202</v>
      </c>
      <c r="E30" s="42"/>
      <c r="F30" s="45"/>
      <c r="G30" s="45"/>
      <c r="H30" s="59"/>
      <c r="I30" s="45"/>
      <c r="J30" s="42"/>
      <c r="K30" s="42" t="s">
        <v>160</v>
      </c>
      <c r="L30" s="42"/>
      <c r="M30" s="45"/>
      <c r="N30" s="59"/>
      <c r="O30" s="49" t="s">
        <v>180</v>
      </c>
      <c r="P30" s="798"/>
      <c r="Q30" s="802"/>
      <c r="R30" s="807"/>
      <c r="S30" s="807"/>
      <c r="T30" s="235"/>
    </row>
    <row r="31" spans="3:20" ht="17" thickBot="1" x14ac:dyDescent="0.25">
      <c r="C31" s="159" t="s">
        <v>158</v>
      </c>
      <c r="D31" s="128" t="s">
        <v>203</v>
      </c>
      <c r="E31" s="128"/>
      <c r="F31" s="209"/>
      <c r="G31" s="209"/>
      <c r="H31" s="422"/>
      <c r="I31" s="209"/>
      <c r="J31" s="128"/>
      <c r="K31" s="128" t="s">
        <v>160</v>
      </c>
      <c r="L31" s="128"/>
      <c r="M31" s="209"/>
      <c r="N31" s="422"/>
      <c r="O31" s="422" t="s">
        <v>174</v>
      </c>
      <c r="P31" s="422">
        <v>7056</v>
      </c>
      <c r="Q31" s="803"/>
      <c r="R31" s="808"/>
      <c r="S31" s="808"/>
      <c r="T31" s="239"/>
    </row>
    <row r="32" spans="3:20" ht="15.5" customHeight="1" x14ac:dyDescent="0.2">
      <c r="C32" s="155" t="s">
        <v>158</v>
      </c>
      <c r="D32" s="127" t="s">
        <v>204</v>
      </c>
      <c r="E32" s="127"/>
      <c r="F32" s="230"/>
      <c r="G32" s="230"/>
      <c r="H32" s="548"/>
      <c r="I32" s="230"/>
      <c r="J32" s="127" t="s">
        <v>160</v>
      </c>
      <c r="K32" s="127" t="s">
        <v>160</v>
      </c>
      <c r="L32" s="127"/>
      <c r="M32" s="230"/>
      <c r="N32" s="548"/>
      <c r="O32" s="421" t="s">
        <v>167</v>
      </c>
      <c r="P32" s="799">
        <v>542077071</v>
      </c>
      <c r="Q32" s="787" t="s">
        <v>205</v>
      </c>
      <c r="R32" s="801" t="s">
        <v>114</v>
      </c>
      <c r="S32" s="801" t="s">
        <v>610</v>
      </c>
      <c r="T32" s="242"/>
    </row>
    <row r="33" spans="2:20" x14ac:dyDescent="0.2">
      <c r="C33" s="157" t="s">
        <v>158</v>
      </c>
      <c r="D33" s="42" t="s">
        <v>1924</v>
      </c>
      <c r="E33" s="42"/>
      <c r="F33" s="45"/>
      <c r="G33" s="45"/>
      <c r="H33" s="59"/>
      <c r="I33" s="45"/>
      <c r="J33" s="42" t="s">
        <v>160</v>
      </c>
      <c r="K33" s="42"/>
      <c r="L33" s="42"/>
      <c r="M33" s="45"/>
      <c r="N33" s="59"/>
      <c r="O33" s="49" t="s">
        <v>1921</v>
      </c>
      <c r="P33" s="798"/>
      <c r="Q33" s="769"/>
      <c r="R33" s="802"/>
      <c r="S33" s="802"/>
      <c r="T33" s="235"/>
    </row>
    <row r="34" spans="2:20" ht="17" thickBot="1" x14ac:dyDescent="0.25">
      <c r="C34" s="159" t="s">
        <v>158</v>
      </c>
      <c r="D34" s="128" t="s">
        <v>207</v>
      </c>
      <c r="E34" s="128"/>
      <c r="F34" s="209"/>
      <c r="G34" s="209"/>
      <c r="H34" s="550"/>
      <c r="I34" s="209"/>
      <c r="J34" s="128" t="s">
        <v>160</v>
      </c>
      <c r="K34" s="128"/>
      <c r="L34" s="128"/>
      <c r="M34" s="209" t="s">
        <v>1923</v>
      </c>
      <c r="N34" s="550"/>
      <c r="O34" s="422" t="s">
        <v>1922</v>
      </c>
      <c r="P34" s="800"/>
      <c r="Q34" s="769"/>
      <c r="R34" s="803"/>
      <c r="S34" s="803"/>
      <c r="T34" s="239"/>
    </row>
    <row r="35" spans="2:20" ht="15.75" customHeight="1" x14ac:dyDescent="0.2">
      <c r="C35" s="155" t="s">
        <v>158</v>
      </c>
      <c r="D35" s="127"/>
      <c r="E35" s="127"/>
      <c r="F35" s="230"/>
      <c r="G35" s="230"/>
      <c r="H35" s="420"/>
      <c r="I35" s="230"/>
      <c r="J35" s="127"/>
      <c r="K35" s="127"/>
      <c r="L35" s="127"/>
      <c r="M35" s="230"/>
      <c r="N35" s="420"/>
      <c r="O35" s="818" t="s">
        <v>209</v>
      </c>
      <c r="P35" s="797">
        <v>7071</v>
      </c>
      <c r="Q35" s="818" t="s">
        <v>210</v>
      </c>
      <c r="R35" s="806" t="s">
        <v>454</v>
      </c>
      <c r="S35" s="806" t="s">
        <v>611</v>
      </c>
      <c r="T35" s="242"/>
    </row>
    <row r="36" spans="2:20" x14ac:dyDescent="0.2">
      <c r="C36" s="157" t="s">
        <v>158</v>
      </c>
      <c r="D36" s="42"/>
      <c r="E36" s="42"/>
      <c r="F36" s="45"/>
      <c r="G36" s="45"/>
      <c r="H36" s="59"/>
      <c r="I36" s="45"/>
      <c r="J36" s="42"/>
      <c r="K36" s="42"/>
      <c r="L36" s="42"/>
      <c r="M36" s="45"/>
      <c r="N36" s="59"/>
      <c r="O36" s="813"/>
      <c r="P36" s="798"/>
      <c r="Q36" s="813"/>
      <c r="R36" s="807"/>
      <c r="S36" s="807"/>
      <c r="T36" s="235"/>
    </row>
    <row r="37" spans="2:20" x14ac:dyDescent="0.2">
      <c r="C37" s="157" t="s">
        <v>158</v>
      </c>
      <c r="D37" s="42"/>
      <c r="E37" s="42"/>
      <c r="F37" s="45"/>
      <c r="G37" s="45"/>
      <c r="H37" s="59"/>
      <c r="I37" s="45"/>
      <c r="J37" s="42"/>
      <c r="K37" s="42"/>
      <c r="L37" s="42"/>
      <c r="M37" s="45"/>
      <c r="N37" s="59"/>
      <c r="O37" s="813"/>
      <c r="P37" s="798">
        <v>7072</v>
      </c>
      <c r="Q37" s="813"/>
      <c r="R37" s="807"/>
      <c r="S37" s="807"/>
      <c r="T37" s="235"/>
    </row>
    <row r="38" spans="2:20" ht="17" thickBot="1" x14ac:dyDescent="0.25">
      <c r="C38" s="159" t="s">
        <v>158</v>
      </c>
      <c r="D38" s="128"/>
      <c r="E38" s="128"/>
      <c r="F38" s="209"/>
      <c r="G38" s="209"/>
      <c r="H38" s="550"/>
      <c r="I38" s="209"/>
      <c r="J38" s="128"/>
      <c r="K38" s="128"/>
      <c r="L38" s="128"/>
      <c r="M38" s="209"/>
      <c r="N38" s="550"/>
      <c r="O38" s="819"/>
      <c r="P38" s="800"/>
      <c r="Q38" s="819"/>
      <c r="R38" s="808"/>
      <c r="S38" s="808"/>
      <c r="T38" s="239"/>
    </row>
    <row r="39" spans="2:20" ht="17" x14ac:dyDescent="0.2">
      <c r="C39" s="417" t="s">
        <v>158</v>
      </c>
      <c r="D39" s="204" t="s">
        <v>211</v>
      </c>
      <c r="E39" s="204"/>
      <c r="F39" s="231"/>
      <c r="G39" s="204"/>
      <c r="H39" s="204"/>
      <c r="I39" s="204"/>
      <c r="J39" s="204" t="s">
        <v>160</v>
      </c>
      <c r="K39" s="204" t="s">
        <v>160</v>
      </c>
      <c r="L39" s="204"/>
      <c r="M39" s="204"/>
      <c r="N39" s="280"/>
      <c r="O39" s="100" t="s">
        <v>212</v>
      </c>
      <c r="P39" s="280">
        <v>7057</v>
      </c>
      <c r="Q39" s="787" t="s">
        <v>213</v>
      </c>
      <c r="R39" s="806" t="s">
        <v>459</v>
      </c>
      <c r="S39" s="806" t="s">
        <v>611</v>
      </c>
      <c r="T39" s="810"/>
    </row>
    <row r="40" spans="2:20" ht="17" x14ac:dyDescent="0.2">
      <c r="B40" s="40" t="s">
        <v>1925</v>
      </c>
      <c r="C40" s="418" t="s">
        <v>158</v>
      </c>
      <c r="D40" s="12" t="s">
        <v>214</v>
      </c>
      <c r="E40" s="12"/>
      <c r="F40" s="60"/>
      <c r="G40" s="12"/>
      <c r="H40" s="12"/>
      <c r="I40" s="12"/>
      <c r="J40" s="12" t="s">
        <v>160</v>
      </c>
      <c r="K40" s="12" t="s">
        <v>176</v>
      </c>
      <c r="L40" s="12"/>
      <c r="M40" s="12"/>
      <c r="N40" s="46"/>
      <c r="O40" s="51" t="s">
        <v>177</v>
      </c>
      <c r="P40" s="46">
        <v>7044</v>
      </c>
      <c r="Q40" s="769"/>
      <c r="R40" s="807"/>
      <c r="S40" s="807"/>
      <c r="T40" s="811"/>
    </row>
    <row r="41" spans="2:20" ht="17" x14ac:dyDescent="0.2">
      <c r="B41" s="40" t="s">
        <v>1925</v>
      </c>
      <c r="C41" s="418" t="s">
        <v>158</v>
      </c>
      <c r="D41" s="12" t="s">
        <v>215</v>
      </c>
      <c r="E41" s="12"/>
      <c r="F41" s="60"/>
      <c r="G41" s="12"/>
      <c r="H41" s="12"/>
      <c r="I41" s="12"/>
      <c r="J41" s="12" t="s">
        <v>160</v>
      </c>
      <c r="K41" s="12" t="s">
        <v>176</v>
      </c>
      <c r="L41" s="12"/>
      <c r="M41" s="12"/>
      <c r="N41" s="46"/>
      <c r="O41" s="51" t="s">
        <v>177</v>
      </c>
      <c r="P41" s="809">
        <v>7042</v>
      </c>
      <c r="Q41" s="769"/>
      <c r="R41" s="807"/>
      <c r="S41" s="807"/>
      <c r="T41" s="811"/>
    </row>
    <row r="42" spans="2:20" ht="18" thickBot="1" x14ac:dyDescent="0.25">
      <c r="B42" s="40" t="s">
        <v>1925</v>
      </c>
      <c r="C42" s="419" t="s">
        <v>158</v>
      </c>
      <c r="D42" s="134" t="s">
        <v>216</v>
      </c>
      <c r="E42" s="134"/>
      <c r="F42" s="243"/>
      <c r="G42" s="134"/>
      <c r="H42" s="134"/>
      <c r="I42" s="134"/>
      <c r="J42" s="134" t="s">
        <v>160</v>
      </c>
      <c r="K42" s="134" t="s">
        <v>176</v>
      </c>
      <c r="L42" s="134"/>
      <c r="M42" s="134"/>
      <c r="N42" s="279"/>
      <c r="O42" s="189" t="s">
        <v>180</v>
      </c>
      <c r="P42" s="805"/>
      <c r="Q42" s="788"/>
      <c r="R42" s="808"/>
      <c r="S42" s="808"/>
      <c r="T42" s="812"/>
    </row>
    <row r="43" spans="2:20" x14ac:dyDescent="0.2">
      <c r="C43" s="518" t="s">
        <v>217</v>
      </c>
      <c r="D43" s="127" t="s">
        <v>218</v>
      </c>
      <c r="E43" s="127"/>
      <c r="F43" s="230"/>
      <c r="G43" s="230"/>
      <c r="H43" s="548"/>
      <c r="I43" s="230"/>
      <c r="J43" s="127"/>
      <c r="K43" s="127" t="s">
        <v>160</v>
      </c>
      <c r="L43" s="127"/>
      <c r="M43" s="230"/>
      <c r="N43" s="548"/>
      <c r="O43" s="421" t="s">
        <v>190</v>
      </c>
      <c r="P43" s="799"/>
      <c r="Q43" s="799" t="s">
        <v>219</v>
      </c>
      <c r="R43" s="801" t="s">
        <v>114</v>
      </c>
      <c r="S43" s="801" t="s">
        <v>610</v>
      </c>
      <c r="T43" s="242"/>
    </row>
    <row r="44" spans="2:20" x14ac:dyDescent="0.2">
      <c r="C44" s="526" t="s">
        <v>217</v>
      </c>
      <c r="D44" s="42" t="s">
        <v>220</v>
      </c>
      <c r="E44" s="42"/>
      <c r="F44" s="45"/>
      <c r="G44" s="45"/>
      <c r="H44" s="59"/>
      <c r="I44" s="45"/>
      <c r="J44" s="42"/>
      <c r="K44" s="42" t="s">
        <v>160</v>
      </c>
      <c r="L44" s="42"/>
      <c r="M44" s="45"/>
      <c r="N44" s="59"/>
      <c r="O44" s="49" t="s">
        <v>221</v>
      </c>
      <c r="P44" s="798"/>
      <c r="Q44" s="814"/>
      <c r="R44" s="802"/>
      <c r="S44" s="802"/>
      <c r="T44" s="235"/>
    </row>
    <row r="45" spans="2:20" ht="17" thickBot="1" x14ac:dyDescent="0.25">
      <c r="C45" s="511" t="s">
        <v>217</v>
      </c>
      <c r="D45" s="128" t="s">
        <v>222</v>
      </c>
      <c r="E45" s="128"/>
      <c r="F45" s="209"/>
      <c r="G45" s="209"/>
      <c r="H45" s="550"/>
      <c r="I45" s="209"/>
      <c r="J45" s="128"/>
      <c r="K45" s="128" t="s">
        <v>160</v>
      </c>
      <c r="L45" s="128"/>
      <c r="M45" s="209"/>
      <c r="N45" s="550"/>
      <c r="O45" s="422" t="s">
        <v>223</v>
      </c>
      <c r="P45" s="800"/>
      <c r="Q45" s="815"/>
      <c r="R45" s="803"/>
      <c r="S45" s="803"/>
      <c r="T45" s="239"/>
    </row>
    <row r="46" spans="2:20" ht="16.25" customHeight="1" x14ac:dyDescent="0.2">
      <c r="C46" s="518" t="s">
        <v>217</v>
      </c>
      <c r="D46" s="127" t="s">
        <v>224</v>
      </c>
      <c r="E46" s="127"/>
      <c r="F46" s="230"/>
      <c r="G46" s="230"/>
      <c r="H46" s="548"/>
      <c r="I46" s="230"/>
      <c r="J46" s="127" t="s">
        <v>160</v>
      </c>
      <c r="K46" s="127" t="s">
        <v>160</v>
      </c>
      <c r="L46" s="127"/>
      <c r="M46" s="230"/>
      <c r="N46" s="548"/>
      <c r="O46" s="127" t="s">
        <v>226</v>
      </c>
      <c r="P46" s="799"/>
      <c r="Q46" s="799" t="s">
        <v>227</v>
      </c>
      <c r="R46" s="801" t="s">
        <v>114</v>
      </c>
      <c r="S46" s="801" t="s">
        <v>610</v>
      </c>
      <c r="T46" s="242"/>
    </row>
    <row r="47" spans="2:20" x14ac:dyDescent="0.2">
      <c r="C47" s="526" t="s">
        <v>217</v>
      </c>
      <c r="D47" s="58" t="s">
        <v>228</v>
      </c>
      <c r="E47" s="58"/>
      <c r="F47" s="45"/>
      <c r="G47" s="45"/>
      <c r="H47" s="59"/>
      <c r="I47" s="45"/>
      <c r="J47" s="58"/>
      <c r="K47" s="42"/>
      <c r="L47" s="42"/>
      <c r="M47" s="45"/>
      <c r="N47" s="59"/>
      <c r="O47" s="813" t="s">
        <v>229</v>
      </c>
      <c r="P47" s="798"/>
      <c r="Q47" s="814"/>
      <c r="R47" s="802"/>
      <c r="S47" s="802"/>
      <c r="T47" s="235"/>
    </row>
    <row r="48" spans="2:20" ht="17" thickBot="1" x14ac:dyDescent="0.25">
      <c r="C48" s="511" t="s">
        <v>217</v>
      </c>
      <c r="D48" s="551"/>
      <c r="E48" s="551"/>
      <c r="F48" s="209"/>
      <c r="G48" s="209"/>
      <c r="H48" s="550"/>
      <c r="I48" s="209"/>
      <c r="J48" s="551"/>
      <c r="K48" s="128"/>
      <c r="L48" s="128"/>
      <c r="M48" s="209"/>
      <c r="N48" s="550"/>
      <c r="O48" s="819"/>
      <c r="P48" s="800"/>
      <c r="Q48" s="815"/>
      <c r="R48" s="803"/>
      <c r="S48" s="803"/>
      <c r="T48" s="239"/>
    </row>
    <row r="49" spans="3:20" ht="16.25" customHeight="1" x14ac:dyDescent="0.2">
      <c r="C49" s="417" t="s">
        <v>217</v>
      </c>
      <c r="D49" s="204" t="s">
        <v>230</v>
      </c>
      <c r="E49" s="204"/>
      <c r="F49" s="231"/>
      <c r="G49" s="204"/>
      <c r="H49" s="204"/>
      <c r="I49" s="204"/>
      <c r="J49" s="204" t="s">
        <v>160</v>
      </c>
      <c r="K49" s="204"/>
      <c r="L49" s="204"/>
      <c r="M49" s="204"/>
      <c r="N49" s="280"/>
      <c r="O49" s="100" t="s">
        <v>231</v>
      </c>
      <c r="P49" s="230"/>
      <c r="Q49" s="787" t="s">
        <v>232</v>
      </c>
      <c r="R49" s="806" t="s">
        <v>114</v>
      </c>
      <c r="S49" s="806" t="s">
        <v>610</v>
      </c>
      <c r="T49" s="810"/>
    </row>
    <row r="50" spans="3:20" ht="17" x14ac:dyDescent="0.2">
      <c r="C50" s="418" t="s">
        <v>217</v>
      </c>
      <c r="D50" s="12" t="s">
        <v>233</v>
      </c>
      <c r="E50" s="12"/>
      <c r="F50" s="60"/>
      <c r="G50" s="12"/>
      <c r="H50" s="12"/>
      <c r="I50" s="12"/>
      <c r="J50" s="12"/>
      <c r="K50" s="12"/>
      <c r="L50" s="12"/>
      <c r="M50" s="12"/>
      <c r="N50" s="46"/>
      <c r="O50" s="51" t="s">
        <v>234</v>
      </c>
      <c r="P50" s="45"/>
      <c r="Q50" s="769"/>
      <c r="R50" s="807"/>
      <c r="S50" s="807"/>
      <c r="T50" s="811"/>
    </row>
    <row r="51" spans="3:20" ht="17" x14ac:dyDescent="0.2">
      <c r="C51" s="418" t="s">
        <v>217</v>
      </c>
      <c r="D51" s="12" t="s">
        <v>235</v>
      </c>
      <c r="E51" s="12"/>
      <c r="F51" s="60"/>
      <c r="G51" s="12"/>
      <c r="H51" s="12"/>
      <c r="I51" s="12"/>
      <c r="J51" s="12" t="s">
        <v>236</v>
      </c>
      <c r="K51" s="12"/>
      <c r="L51" s="12"/>
      <c r="M51" s="12"/>
      <c r="N51" s="46"/>
      <c r="O51" s="51" t="s">
        <v>237</v>
      </c>
      <c r="P51" s="45"/>
      <c r="Q51" s="769"/>
      <c r="R51" s="807"/>
      <c r="S51" s="807"/>
      <c r="T51" s="811"/>
    </row>
    <row r="52" spans="3:20" ht="17" thickBot="1" x14ac:dyDescent="0.25">
      <c r="C52" s="419"/>
      <c r="D52" s="134" t="s">
        <v>238</v>
      </c>
      <c r="E52" s="134"/>
      <c r="F52" s="243"/>
      <c r="G52" s="134"/>
      <c r="H52" s="134"/>
      <c r="I52" s="134"/>
      <c r="J52" s="134" t="s">
        <v>236</v>
      </c>
      <c r="K52" s="134"/>
      <c r="L52" s="134"/>
      <c r="M52" s="134"/>
      <c r="N52" s="279"/>
      <c r="O52" s="189" t="s">
        <v>239</v>
      </c>
      <c r="P52" s="209"/>
      <c r="Q52" s="788"/>
      <c r="R52" s="808"/>
      <c r="S52" s="808"/>
      <c r="T52" s="812"/>
    </row>
    <row r="53" spans="3:20" x14ac:dyDescent="0.2">
      <c r="C53" s="518" t="s">
        <v>217</v>
      </c>
      <c r="D53" s="553" t="s">
        <v>240</v>
      </c>
      <c r="E53" s="553"/>
      <c r="F53" s="230"/>
      <c r="G53" s="230"/>
      <c r="H53" s="548"/>
      <c r="I53" s="230"/>
      <c r="J53" s="127"/>
      <c r="K53" s="127" t="s">
        <v>160</v>
      </c>
      <c r="L53" s="127"/>
      <c r="M53" s="230"/>
      <c r="N53" s="548"/>
      <c r="O53" s="421" t="s">
        <v>190</v>
      </c>
      <c r="P53" s="799"/>
      <c r="Q53" s="799" t="s">
        <v>241</v>
      </c>
      <c r="R53" s="806" t="s">
        <v>114</v>
      </c>
      <c r="S53" s="806" t="s">
        <v>610</v>
      </c>
      <c r="T53" s="242"/>
    </row>
    <row r="54" spans="3:20" x14ac:dyDescent="0.2">
      <c r="C54" s="526" t="s">
        <v>217</v>
      </c>
      <c r="D54" s="45" t="s">
        <v>242</v>
      </c>
      <c r="E54" s="45"/>
      <c r="F54" s="45"/>
      <c r="G54" s="45"/>
      <c r="H54" s="59"/>
      <c r="I54" s="45"/>
      <c r="J54" s="45"/>
      <c r="K54" s="45"/>
      <c r="L54" s="45"/>
      <c r="M54" s="45"/>
      <c r="N54" s="59"/>
      <c r="O54" s="43" t="s">
        <v>234</v>
      </c>
      <c r="P54" s="798"/>
      <c r="Q54" s="814"/>
      <c r="R54" s="807"/>
      <c r="S54" s="807"/>
      <c r="T54" s="235"/>
    </row>
    <row r="55" spans="3:20" x14ac:dyDescent="0.2">
      <c r="C55" s="526"/>
      <c r="D55" s="45" t="s">
        <v>243</v>
      </c>
      <c r="E55" s="45"/>
      <c r="F55" s="45"/>
      <c r="G55" s="45"/>
      <c r="H55" s="59"/>
      <c r="I55" s="45"/>
      <c r="J55" s="45"/>
      <c r="K55" s="45"/>
      <c r="L55" s="45"/>
      <c r="M55" s="45"/>
      <c r="N55" s="59"/>
      <c r="O55" s="43" t="s">
        <v>234</v>
      </c>
      <c r="P55" s="798"/>
      <c r="Q55" s="814"/>
      <c r="R55" s="807"/>
      <c r="S55" s="807"/>
      <c r="T55" s="235"/>
    </row>
    <row r="56" spans="3:20" x14ac:dyDescent="0.2">
      <c r="C56" s="526" t="s">
        <v>217</v>
      </c>
      <c r="D56" s="416" t="s">
        <v>244</v>
      </c>
      <c r="E56" s="416"/>
      <c r="F56" s="45"/>
      <c r="G56" s="45"/>
      <c r="H56" s="59"/>
      <c r="I56" s="45"/>
      <c r="J56" s="42"/>
      <c r="K56" s="42" t="s">
        <v>160</v>
      </c>
      <c r="L56" s="42"/>
      <c r="M56" s="45"/>
      <c r="N56" s="59"/>
      <c r="O56" s="49" t="s">
        <v>223</v>
      </c>
      <c r="P56" s="798"/>
      <c r="Q56" s="814"/>
      <c r="R56" s="807"/>
      <c r="S56" s="807"/>
      <c r="T56" s="235"/>
    </row>
    <row r="57" spans="3:20" x14ac:dyDescent="0.2">
      <c r="C57" s="526" t="s">
        <v>217</v>
      </c>
      <c r="D57" s="46"/>
      <c r="E57" s="46"/>
      <c r="F57" s="45"/>
      <c r="G57" s="45"/>
      <c r="H57" s="59"/>
      <c r="I57" s="45"/>
      <c r="J57" s="45"/>
      <c r="K57" s="45"/>
      <c r="L57" s="45"/>
      <c r="M57" s="45"/>
      <c r="N57" s="59"/>
      <c r="O57" s="43" t="s">
        <v>245</v>
      </c>
      <c r="P57" s="798"/>
      <c r="Q57" s="814"/>
      <c r="R57" s="807"/>
      <c r="S57" s="807"/>
      <c r="T57" s="235"/>
    </row>
    <row r="58" spans="3:20" ht="25.25" customHeight="1" x14ac:dyDescent="0.2">
      <c r="C58" s="526" t="s">
        <v>217</v>
      </c>
      <c r="D58" s="416" t="s">
        <v>246</v>
      </c>
      <c r="E58" s="416"/>
      <c r="F58" s="45"/>
      <c r="G58" s="45"/>
      <c r="H58" s="59"/>
      <c r="I58" s="45"/>
      <c r="J58" s="59" t="s">
        <v>236</v>
      </c>
      <c r="K58" s="59"/>
      <c r="L58" s="59"/>
      <c r="M58" s="45"/>
      <c r="N58" s="59"/>
      <c r="O58" s="49" t="s">
        <v>247</v>
      </c>
      <c r="P58" s="798"/>
      <c r="Q58" s="814"/>
      <c r="R58" s="807"/>
      <c r="S58" s="807"/>
      <c r="T58" s="235"/>
    </row>
    <row r="59" spans="3:20" ht="28.25" customHeight="1" thickBot="1" x14ac:dyDescent="0.25">
      <c r="C59" s="511" t="s">
        <v>217</v>
      </c>
      <c r="D59" s="554" t="s">
        <v>248</v>
      </c>
      <c r="E59" s="554"/>
      <c r="F59" s="209"/>
      <c r="G59" s="209"/>
      <c r="H59" s="550"/>
      <c r="I59" s="209"/>
      <c r="J59" s="550" t="s">
        <v>236</v>
      </c>
      <c r="K59" s="550"/>
      <c r="L59" s="550"/>
      <c r="M59" s="209"/>
      <c r="N59" s="550"/>
      <c r="O59" s="422" t="s">
        <v>208</v>
      </c>
      <c r="P59" s="800"/>
      <c r="Q59" s="815"/>
      <c r="R59" s="808"/>
      <c r="S59" s="808"/>
      <c r="T59" s="239"/>
    </row>
    <row r="60" spans="3:20" ht="15.5" customHeight="1" x14ac:dyDescent="0.2">
      <c r="C60" s="417" t="s">
        <v>249</v>
      </c>
      <c r="D60" s="204" t="s">
        <v>250</v>
      </c>
      <c r="E60" s="204"/>
      <c r="F60" s="231"/>
      <c r="G60" s="204"/>
      <c r="H60" s="204"/>
      <c r="I60" s="204"/>
      <c r="J60" s="204" t="s">
        <v>160</v>
      </c>
      <c r="K60" s="204"/>
      <c r="L60" s="204"/>
      <c r="M60" s="204"/>
      <c r="N60" s="280"/>
      <c r="O60" s="100" t="s">
        <v>221</v>
      </c>
      <c r="P60" s="230"/>
      <c r="Q60" s="787" t="s">
        <v>251</v>
      </c>
      <c r="R60" s="806" t="s">
        <v>114</v>
      </c>
      <c r="S60" s="806" t="s">
        <v>610</v>
      </c>
      <c r="T60" s="810"/>
    </row>
    <row r="61" spans="3:20" ht="17" x14ac:dyDescent="0.2">
      <c r="C61" s="418" t="s">
        <v>249</v>
      </c>
      <c r="D61" s="12" t="s">
        <v>252</v>
      </c>
      <c r="E61" s="12"/>
      <c r="F61" s="60"/>
      <c r="G61" s="12"/>
      <c r="H61" s="12"/>
      <c r="I61" s="12"/>
      <c r="J61" s="12" t="s">
        <v>160</v>
      </c>
      <c r="K61" s="12"/>
      <c r="L61" s="12"/>
      <c r="M61" s="12"/>
      <c r="N61" s="46"/>
      <c r="O61" s="51" t="s">
        <v>253</v>
      </c>
      <c r="P61" s="45"/>
      <c r="Q61" s="769"/>
      <c r="R61" s="807"/>
      <c r="S61" s="807"/>
      <c r="T61" s="811"/>
    </row>
    <row r="62" spans="3:20" ht="17" x14ac:dyDescent="0.2">
      <c r="C62" s="418" t="s">
        <v>249</v>
      </c>
      <c r="D62" s="12" t="s">
        <v>254</v>
      </c>
      <c r="E62" s="12"/>
      <c r="F62" s="60"/>
      <c r="G62" s="12"/>
      <c r="H62" s="12"/>
      <c r="I62" s="12"/>
      <c r="J62" s="12" t="s">
        <v>49</v>
      </c>
      <c r="K62" s="12" t="s">
        <v>160</v>
      </c>
      <c r="L62" s="12"/>
      <c r="M62" s="12"/>
      <c r="N62" s="46"/>
      <c r="O62" s="51" t="s">
        <v>161</v>
      </c>
      <c r="P62" s="45"/>
      <c r="Q62" s="769"/>
      <c r="R62" s="807"/>
      <c r="S62" s="807"/>
      <c r="T62" s="811"/>
    </row>
    <row r="63" spans="3:20" ht="18" thickBot="1" x14ac:dyDescent="0.25">
      <c r="C63" s="419" t="s">
        <v>249</v>
      </c>
      <c r="D63" s="134" t="s">
        <v>255</v>
      </c>
      <c r="E63" s="134"/>
      <c r="F63" s="243"/>
      <c r="G63" s="134"/>
      <c r="H63" s="134"/>
      <c r="I63" s="134"/>
      <c r="J63" s="134" t="s">
        <v>160</v>
      </c>
      <c r="K63" s="134"/>
      <c r="L63" s="134"/>
      <c r="M63" s="134"/>
      <c r="N63" s="279"/>
      <c r="O63" s="189" t="s">
        <v>223</v>
      </c>
      <c r="P63" s="209"/>
      <c r="Q63" s="788"/>
      <c r="R63" s="808"/>
      <c r="S63" s="808"/>
      <c r="T63" s="812"/>
    </row>
    <row r="64" spans="3:20" x14ac:dyDescent="0.2">
      <c r="C64" s="518" t="s">
        <v>249</v>
      </c>
      <c r="D64" s="280" t="s">
        <v>256</v>
      </c>
      <c r="E64" s="280"/>
      <c r="F64" s="230"/>
      <c r="G64" s="230"/>
      <c r="H64" s="420"/>
      <c r="I64" s="230"/>
      <c r="J64" s="280" t="s">
        <v>160</v>
      </c>
      <c r="K64" s="280"/>
      <c r="L64" s="280"/>
      <c r="M64" s="230"/>
      <c r="N64" s="420"/>
      <c r="O64" s="552" t="s">
        <v>190</v>
      </c>
      <c r="P64" s="797">
        <v>7052</v>
      </c>
      <c r="Q64" s="818" t="s">
        <v>257</v>
      </c>
      <c r="R64" s="806" t="s">
        <v>459</v>
      </c>
      <c r="S64" s="806" t="s">
        <v>611</v>
      </c>
      <c r="T64" s="242"/>
    </row>
    <row r="65" spans="3:20" x14ac:dyDescent="0.2">
      <c r="C65" s="526" t="s">
        <v>249</v>
      </c>
      <c r="D65" s="46" t="s">
        <v>258</v>
      </c>
      <c r="E65" s="46"/>
      <c r="F65" s="45"/>
      <c r="G65" s="45"/>
      <c r="H65" s="59"/>
      <c r="I65" s="45"/>
      <c r="J65" s="46" t="s">
        <v>160</v>
      </c>
      <c r="K65" s="46"/>
      <c r="L65" s="46"/>
      <c r="M65" s="45"/>
      <c r="N65" s="59"/>
      <c r="O65" s="43" t="s">
        <v>259</v>
      </c>
      <c r="P65" s="798"/>
      <c r="Q65" s="813"/>
      <c r="R65" s="807"/>
      <c r="S65" s="807"/>
      <c r="T65" s="235"/>
    </row>
    <row r="66" spans="3:20" x14ac:dyDescent="0.2">
      <c r="C66" s="526" t="s">
        <v>249</v>
      </c>
      <c r="D66" s="46" t="s">
        <v>260</v>
      </c>
      <c r="E66" s="46"/>
      <c r="F66" s="45"/>
      <c r="G66" s="45"/>
      <c r="H66" s="49"/>
      <c r="I66" s="45"/>
      <c r="J66" s="46" t="s">
        <v>160</v>
      </c>
      <c r="K66" s="46" t="s">
        <v>160</v>
      </c>
      <c r="L66" s="46"/>
      <c r="M66" s="45"/>
      <c r="N66" s="49"/>
      <c r="O66" s="43" t="s">
        <v>182</v>
      </c>
      <c r="P66" s="49">
        <v>7061</v>
      </c>
      <c r="Q66" s="813"/>
      <c r="R66" s="807"/>
      <c r="S66" s="807"/>
      <c r="T66" s="235"/>
    </row>
    <row r="67" spans="3:20" x14ac:dyDescent="0.2">
      <c r="C67" s="526" t="s">
        <v>249</v>
      </c>
      <c r="D67" s="46" t="s">
        <v>261</v>
      </c>
      <c r="E67" s="46"/>
      <c r="F67" s="45"/>
      <c r="G67" s="45"/>
      <c r="H67" s="85"/>
      <c r="I67" s="45"/>
      <c r="J67" s="46" t="s">
        <v>160</v>
      </c>
      <c r="K67" s="46"/>
      <c r="L67" s="46"/>
      <c r="M67" s="45"/>
      <c r="N67" s="85"/>
      <c r="O67" s="43" t="s">
        <v>190</v>
      </c>
      <c r="P67" s="814" t="s">
        <v>262</v>
      </c>
      <c r="Q67" s="813"/>
      <c r="R67" s="807"/>
      <c r="S67" s="807"/>
      <c r="T67" s="235"/>
    </row>
    <row r="68" spans="3:20" ht="17" thickBot="1" x14ac:dyDescent="0.25">
      <c r="C68" s="511" t="s">
        <v>249</v>
      </c>
      <c r="D68" s="279" t="s">
        <v>263</v>
      </c>
      <c r="E68" s="279"/>
      <c r="F68" s="209"/>
      <c r="G68" s="209"/>
      <c r="H68" s="555"/>
      <c r="I68" s="209"/>
      <c r="J68" s="279" t="s">
        <v>160</v>
      </c>
      <c r="K68" s="279"/>
      <c r="L68" s="279"/>
      <c r="M68" s="209"/>
      <c r="N68" s="555"/>
      <c r="O68" s="423" t="s">
        <v>259</v>
      </c>
      <c r="P68" s="815"/>
      <c r="Q68" s="819"/>
      <c r="R68" s="808"/>
      <c r="S68" s="808"/>
      <c r="T68" s="239"/>
    </row>
    <row r="69" spans="3:20" ht="17" x14ac:dyDescent="0.2">
      <c r="C69" s="417" t="s">
        <v>249</v>
      </c>
      <c r="D69" s="204" t="s">
        <v>264</v>
      </c>
      <c r="E69" s="204"/>
      <c r="F69" s="231"/>
      <c r="G69" s="204"/>
      <c r="H69" s="204"/>
      <c r="I69" s="204"/>
      <c r="J69" s="204" t="s">
        <v>160</v>
      </c>
      <c r="K69" s="204"/>
      <c r="L69" s="204"/>
      <c r="M69" s="204"/>
      <c r="N69" s="280"/>
      <c r="O69" s="100" t="s">
        <v>190</v>
      </c>
      <c r="P69" s="230">
        <v>7041</v>
      </c>
      <c r="Q69" s="787" t="s">
        <v>265</v>
      </c>
      <c r="R69" s="806" t="s">
        <v>454</v>
      </c>
      <c r="S69" s="806" t="s">
        <v>611</v>
      </c>
      <c r="T69" s="810"/>
    </row>
    <row r="70" spans="3:20" ht="17" x14ac:dyDescent="0.2">
      <c r="C70" s="418" t="s">
        <v>249</v>
      </c>
      <c r="D70" s="12" t="s">
        <v>266</v>
      </c>
      <c r="E70" s="12"/>
      <c r="F70" s="60"/>
      <c r="G70" s="12"/>
      <c r="H70" s="12"/>
      <c r="I70" s="12"/>
      <c r="J70" s="12" t="s">
        <v>160</v>
      </c>
      <c r="K70" s="12"/>
      <c r="L70" s="12"/>
      <c r="M70" s="12"/>
      <c r="N70" s="46"/>
      <c r="O70" s="51" t="s">
        <v>259</v>
      </c>
      <c r="P70" s="45"/>
      <c r="Q70" s="769"/>
      <c r="R70" s="807"/>
      <c r="S70" s="807"/>
      <c r="T70" s="811"/>
    </row>
    <row r="71" spans="3:20" ht="17" x14ac:dyDescent="0.2">
      <c r="C71" s="418" t="s">
        <v>249</v>
      </c>
      <c r="D71" s="12" t="s">
        <v>267</v>
      </c>
      <c r="E71" s="12"/>
      <c r="F71" s="60"/>
      <c r="G71" s="12"/>
      <c r="H71" s="12"/>
      <c r="I71" s="12"/>
      <c r="J71" s="12" t="s">
        <v>160</v>
      </c>
      <c r="K71" s="12"/>
      <c r="L71" s="12"/>
      <c r="M71" s="12"/>
      <c r="N71" s="46"/>
      <c r="O71" s="51" t="s">
        <v>190</v>
      </c>
      <c r="P71" s="45">
        <v>7045</v>
      </c>
      <c r="Q71" s="769"/>
      <c r="R71" s="807"/>
      <c r="S71" s="807"/>
      <c r="T71" s="811"/>
    </row>
    <row r="72" spans="3:20" ht="18" thickBot="1" x14ac:dyDescent="0.25">
      <c r="C72" s="419" t="s">
        <v>249</v>
      </c>
      <c r="D72" s="134" t="s">
        <v>268</v>
      </c>
      <c r="E72" s="134"/>
      <c r="F72" s="243"/>
      <c r="G72" s="134"/>
      <c r="H72" s="134"/>
      <c r="I72" s="134"/>
      <c r="J72" s="134" t="s">
        <v>160</v>
      </c>
      <c r="K72" s="134"/>
      <c r="L72" s="134"/>
      <c r="M72" s="134"/>
      <c r="N72" s="279"/>
      <c r="O72" s="189" t="s">
        <v>259</v>
      </c>
      <c r="P72" s="209"/>
      <c r="Q72" s="788"/>
      <c r="R72" s="808"/>
      <c r="S72" s="808"/>
      <c r="T72" s="812"/>
    </row>
    <row r="73" spans="3:20" x14ac:dyDescent="0.2">
      <c r="C73" s="518" t="s">
        <v>249</v>
      </c>
      <c r="D73" s="280" t="s">
        <v>270</v>
      </c>
      <c r="E73" s="280"/>
      <c r="F73" s="230"/>
      <c r="G73" s="230"/>
      <c r="H73" s="421"/>
      <c r="I73" s="230"/>
      <c r="J73" s="280" t="s">
        <v>160</v>
      </c>
      <c r="K73" s="280" t="s">
        <v>160</v>
      </c>
      <c r="L73" s="280"/>
      <c r="M73" s="230"/>
      <c r="N73" s="421"/>
      <c r="O73" s="552" t="s">
        <v>182</v>
      </c>
      <c r="P73" s="421">
        <v>7054</v>
      </c>
      <c r="Q73" s="818" t="s">
        <v>271</v>
      </c>
      <c r="R73" s="806" t="s">
        <v>454</v>
      </c>
      <c r="S73" s="806" t="s">
        <v>611</v>
      </c>
      <c r="T73" s="242"/>
    </row>
    <row r="74" spans="3:20" x14ac:dyDescent="0.2">
      <c r="C74" s="526" t="s">
        <v>249</v>
      </c>
      <c r="D74" s="46" t="s">
        <v>272</v>
      </c>
      <c r="E74" s="46"/>
      <c r="F74" s="45"/>
      <c r="G74" s="45"/>
      <c r="H74" s="59"/>
      <c r="I74" s="45"/>
      <c r="J74" s="46" t="s">
        <v>160</v>
      </c>
      <c r="K74" s="46"/>
      <c r="L74" s="46"/>
      <c r="M74" s="45"/>
      <c r="N74" s="59"/>
      <c r="O74" s="43" t="s">
        <v>190</v>
      </c>
      <c r="P74" s="798">
        <v>7051</v>
      </c>
      <c r="Q74" s="813"/>
      <c r="R74" s="807"/>
      <c r="S74" s="807"/>
      <c r="T74" s="235"/>
    </row>
    <row r="75" spans="3:20" ht="17" thickBot="1" x14ac:dyDescent="0.25">
      <c r="C75" s="511" t="s">
        <v>249</v>
      </c>
      <c r="D75" s="279" t="s">
        <v>273</v>
      </c>
      <c r="E75" s="279"/>
      <c r="F75" s="209"/>
      <c r="G75" s="209"/>
      <c r="H75" s="550"/>
      <c r="I75" s="209"/>
      <c r="J75" s="279" t="s">
        <v>160</v>
      </c>
      <c r="K75" s="279"/>
      <c r="L75" s="279"/>
      <c r="M75" s="209"/>
      <c r="N75" s="550"/>
      <c r="O75" s="423" t="s">
        <v>259</v>
      </c>
      <c r="P75" s="800"/>
      <c r="Q75" s="819"/>
      <c r="R75" s="808"/>
      <c r="S75" s="808"/>
      <c r="T75" s="239"/>
    </row>
    <row r="76" spans="3:20" x14ac:dyDescent="0.2">
      <c r="C76" s="518" t="s">
        <v>249</v>
      </c>
      <c r="D76" s="280" t="s">
        <v>274</v>
      </c>
      <c r="E76" s="280"/>
      <c r="F76" s="230"/>
      <c r="G76" s="230"/>
      <c r="H76" s="548"/>
      <c r="I76" s="230"/>
      <c r="J76" s="280" t="s">
        <v>160</v>
      </c>
      <c r="K76" s="280"/>
      <c r="L76" s="280"/>
      <c r="M76" s="230"/>
      <c r="N76" s="548"/>
      <c r="O76" s="552" t="s">
        <v>253</v>
      </c>
      <c r="P76" s="799"/>
      <c r="Q76" s="799" t="s">
        <v>275</v>
      </c>
      <c r="R76" s="806" t="s">
        <v>114</v>
      </c>
      <c r="S76" s="806" t="s">
        <v>610</v>
      </c>
      <c r="T76" s="242"/>
    </row>
    <row r="77" spans="3:20" x14ac:dyDescent="0.2">
      <c r="C77" s="526" t="s">
        <v>249</v>
      </c>
      <c r="D77" s="46" t="s">
        <v>276</v>
      </c>
      <c r="E77" s="46"/>
      <c r="F77" s="45"/>
      <c r="G77" s="45"/>
      <c r="H77" s="59"/>
      <c r="I77" s="45"/>
      <c r="J77" s="46" t="s">
        <v>160</v>
      </c>
      <c r="K77" s="46"/>
      <c r="L77" s="46"/>
      <c r="M77" s="45"/>
      <c r="N77" s="59"/>
      <c r="O77" s="43" t="s">
        <v>223</v>
      </c>
      <c r="P77" s="798"/>
      <c r="Q77" s="814"/>
      <c r="R77" s="807"/>
      <c r="S77" s="807"/>
      <c r="T77" s="235"/>
    </row>
    <row r="78" spans="3:20" x14ac:dyDescent="0.2">
      <c r="C78" s="526" t="s">
        <v>249</v>
      </c>
      <c r="D78" s="46" t="s">
        <v>277</v>
      </c>
      <c r="E78" s="46"/>
      <c r="F78" s="45" t="s">
        <v>2413</v>
      </c>
      <c r="G78" s="45"/>
      <c r="H78" s="59"/>
      <c r="I78" s="45"/>
      <c r="J78" s="64" t="s">
        <v>49</v>
      </c>
      <c r="K78" s="46" t="s">
        <v>160</v>
      </c>
      <c r="L78" s="46"/>
      <c r="M78" s="45"/>
      <c r="N78" s="59"/>
      <c r="O78" s="43" t="s">
        <v>161</v>
      </c>
      <c r="P78" s="798"/>
      <c r="Q78" s="814"/>
      <c r="R78" s="807"/>
      <c r="S78" s="807"/>
      <c r="T78" s="235"/>
    </row>
    <row r="79" spans="3:20" ht="17" thickBot="1" x14ac:dyDescent="0.25">
      <c r="C79" s="511" t="s">
        <v>249</v>
      </c>
      <c r="D79" s="279" t="s">
        <v>278</v>
      </c>
      <c r="E79" s="279"/>
      <c r="F79" s="209"/>
      <c r="G79" s="209"/>
      <c r="H79" s="550"/>
      <c r="I79" s="209"/>
      <c r="J79" s="371" t="s">
        <v>49</v>
      </c>
      <c r="K79" s="279" t="s">
        <v>160</v>
      </c>
      <c r="L79" s="279"/>
      <c r="M79" s="209"/>
      <c r="N79" s="550"/>
      <c r="O79" s="423" t="s">
        <v>279</v>
      </c>
      <c r="P79" s="800"/>
      <c r="Q79" s="815"/>
      <c r="R79" s="808"/>
      <c r="S79" s="808"/>
      <c r="T79" s="239"/>
    </row>
    <row r="80" spans="3:20" ht="15.5" customHeight="1" x14ac:dyDescent="0.2">
      <c r="C80" s="417" t="s">
        <v>280</v>
      </c>
      <c r="D80" s="204" t="s">
        <v>281</v>
      </c>
      <c r="E80" s="204"/>
      <c r="F80" s="231"/>
      <c r="G80" s="204"/>
      <c r="H80" s="204"/>
      <c r="I80" s="204"/>
      <c r="J80" s="204" t="s">
        <v>160</v>
      </c>
      <c r="K80" s="204" t="s">
        <v>176</v>
      </c>
      <c r="L80" s="204"/>
      <c r="M80" s="204"/>
      <c r="N80" s="280"/>
      <c r="O80" s="100" t="s">
        <v>190</v>
      </c>
      <c r="P80" s="230"/>
      <c r="Q80" s="787" t="s">
        <v>282</v>
      </c>
      <c r="R80" s="806" t="s">
        <v>114</v>
      </c>
      <c r="S80" s="806" t="s">
        <v>610</v>
      </c>
      <c r="T80" s="810"/>
    </row>
    <row r="81" spans="3:20" ht="17" x14ac:dyDescent="0.2">
      <c r="C81" s="418" t="s">
        <v>280</v>
      </c>
      <c r="D81" s="12" t="s">
        <v>283</v>
      </c>
      <c r="E81" s="12"/>
      <c r="F81" s="60"/>
      <c r="G81" s="12"/>
      <c r="H81" s="12"/>
      <c r="I81" s="12"/>
      <c r="J81" s="12" t="s">
        <v>160</v>
      </c>
      <c r="K81" s="12" t="s">
        <v>160</v>
      </c>
      <c r="L81" s="12"/>
      <c r="M81" s="12"/>
      <c r="N81" s="46"/>
      <c r="O81" s="51" t="s">
        <v>284</v>
      </c>
      <c r="P81" s="45"/>
      <c r="Q81" s="769"/>
      <c r="R81" s="807"/>
      <c r="S81" s="807"/>
      <c r="T81" s="811"/>
    </row>
    <row r="82" spans="3:20" x14ac:dyDescent="0.2">
      <c r="C82" s="418"/>
      <c r="D82" s="12"/>
      <c r="E82" s="12"/>
      <c r="F82" s="60"/>
      <c r="G82" s="12"/>
      <c r="H82" s="12"/>
      <c r="I82" s="12"/>
      <c r="J82" s="12"/>
      <c r="K82" s="12"/>
      <c r="L82" s="12"/>
      <c r="M82" s="12"/>
      <c r="N82" s="46"/>
      <c r="O82" s="51"/>
      <c r="P82" s="45"/>
      <c r="Q82" s="769"/>
      <c r="R82" s="807"/>
      <c r="S82" s="807"/>
      <c r="T82" s="811"/>
    </row>
    <row r="83" spans="3:20" ht="18" thickBot="1" x14ac:dyDescent="0.25">
      <c r="C83" s="419" t="s">
        <v>280</v>
      </c>
      <c r="D83" s="134" t="s">
        <v>285</v>
      </c>
      <c r="E83" s="134"/>
      <c r="F83" s="243"/>
      <c r="G83" s="134"/>
      <c r="H83" s="134"/>
      <c r="I83" s="134"/>
      <c r="J83" s="134" t="s">
        <v>160</v>
      </c>
      <c r="K83" s="134" t="s">
        <v>160</v>
      </c>
      <c r="L83" s="134"/>
      <c r="M83" s="134"/>
      <c r="N83" s="279"/>
      <c r="O83" s="189" t="s">
        <v>182</v>
      </c>
      <c r="P83" s="209">
        <v>7046</v>
      </c>
      <c r="Q83" s="788" t="s">
        <v>286</v>
      </c>
      <c r="R83" s="808"/>
      <c r="S83" s="808"/>
      <c r="T83" s="812"/>
    </row>
    <row r="84" spans="3:20" x14ac:dyDescent="0.2">
      <c r="C84" s="46" t="s">
        <v>280</v>
      </c>
      <c r="D84" s="46" t="s">
        <v>288</v>
      </c>
      <c r="E84" s="46"/>
      <c r="F84" s="45"/>
      <c r="G84" s="45"/>
      <c r="H84" s="85"/>
      <c r="I84" s="45"/>
      <c r="J84" s="64" t="s">
        <v>49</v>
      </c>
      <c r="K84" s="46" t="s">
        <v>160</v>
      </c>
      <c r="L84" s="46"/>
      <c r="M84" s="45"/>
      <c r="N84" s="85"/>
      <c r="O84" s="43" t="s">
        <v>161</v>
      </c>
      <c r="P84" s="814"/>
      <c r="Q84" s="814" t="s">
        <v>289</v>
      </c>
      <c r="R84" s="816" t="s">
        <v>114</v>
      </c>
      <c r="S84" s="816" t="s">
        <v>610</v>
      </c>
      <c r="T84" s="45"/>
    </row>
    <row r="85" spans="3:20" x14ac:dyDescent="0.2">
      <c r="C85" s="46" t="s">
        <v>280</v>
      </c>
      <c r="D85" s="46" t="s">
        <v>290</v>
      </c>
      <c r="E85" s="46"/>
      <c r="F85" s="45"/>
      <c r="G85" s="45"/>
      <c r="H85" s="59"/>
      <c r="I85" s="45"/>
      <c r="J85" s="64" t="s">
        <v>49</v>
      </c>
      <c r="K85" s="46" t="s">
        <v>160</v>
      </c>
      <c r="L85" s="46"/>
      <c r="M85" s="45"/>
      <c r="N85" s="59"/>
      <c r="O85" s="43" t="s">
        <v>279</v>
      </c>
      <c r="P85" s="798"/>
      <c r="Q85" s="814"/>
      <c r="R85" s="807"/>
      <c r="S85" s="807"/>
      <c r="T85" s="45"/>
    </row>
    <row r="86" spans="3:20" x14ac:dyDescent="0.2">
      <c r="C86" s="46" t="s">
        <v>280</v>
      </c>
      <c r="D86" s="46" t="s">
        <v>291</v>
      </c>
      <c r="E86" s="46"/>
      <c r="F86" s="45"/>
      <c r="G86" s="45"/>
      <c r="H86" s="59"/>
      <c r="I86" s="45"/>
      <c r="J86" s="46" t="s">
        <v>160</v>
      </c>
      <c r="K86" s="46"/>
      <c r="L86" s="46"/>
      <c r="M86" s="45"/>
      <c r="N86" s="59"/>
      <c r="O86" s="43" t="s">
        <v>223</v>
      </c>
      <c r="P86" s="798"/>
      <c r="Q86" s="814"/>
      <c r="R86" s="807"/>
      <c r="S86" s="807"/>
      <c r="T86" s="45"/>
    </row>
    <row r="87" spans="3:20" x14ac:dyDescent="0.2">
      <c r="C87" s="46" t="s">
        <v>280</v>
      </c>
      <c r="D87" s="46" t="s">
        <v>292</v>
      </c>
      <c r="E87" s="46"/>
      <c r="F87" s="45"/>
      <c r="G87" s="45"/>
      <c r="H87" s="59"/>
      <c r="I87" s="45"/>
      <c r="J87" s="46"/>
      <c r="K87" s="46" t="s">
        <v>160</v>
      </c>
      <c r="L87" s="46"/>
      <c r="M87" s="45"/>
      <c r="N87" s="59"/>
      <c r="O87" s="43" t="s">
        <v>253</v>
      </c>
      <c r="P87" s="798"/>
      <c r="Q87" s="814"/>
      <c r="R87" s="817"/>
      <c r="S87" s="817"/>
      <c r="T87" s="45"/>
    </row>
    <row r="88" spans="3:20" x14ac:dyDescent="0.2">
      <c r="C88" s="46" t="s">
        <v>280</v>
      </c>
      <c r="D88" s="46"/>
      <c r="E88" s="46"/>
      <c r="F88" s="45"/>
      <c r="G88" s="45"/>
      <c r="H88" s="49"/>
      <c r="I88" s="45"/>
      <c r="J88" s="43"/>
      <c r="K88" s="43"/>
      <c r="L88" s="43"/>
      <c r="M88" s="45"/>
      <c r="N88" s="49"/>
      <c r="O88" s="43" t="s">
        <v>293</v>
      </c>
      <c r="P88" s="49"/>
      <c r="Q88" s="42"/>
      <c r="R88" s="166"/>
      <c r="S88" s="166"/>
      <c r="T88" s="45"/>
    </row>
    <row r="89" spans="3:20" x14ac:dyDescent="0.2">
      <c r="C89" s="46" t="s">
        <v>280</v>
      </c>
      <c r="D89" s="46" t="s">
        <v>294</v>
      </c>
      <c r="E89" s="46"/>
      <c r="F89" s="45"/>
      <c r="G89" s="45"/>
      <c r="H89" s="49"/>
      <c r="I89" s="45"/>
      <c r="J89" s="46" t="s">
        <v>160</v>
      </c>
      <c r="K89" s="46" t="s">
        <v>160</v>
      </c>
      <c r="L89" s="46"/>
      <c r="M89" s="45"/>
      <c r="N89" s="49"/>
      <c r="O89" s="43" t="s">
        <v>182</v>
      </c>
      <c r="P89" s="49">
        <v>7063</v>
      </c>
      <c r="Q89" s="813" t="s">
        <v>295</v>
      </c>
      <c r="R89" s="816" t="s">
        <v>459</v>
      </c>
      <c r="S89" s="816" t="s">
        <v>611</v>
      </c>
      <c r="T89" s="45"/>
    </row>
    <row r="90" spans="3:20" x14ac:dyDescent="0.2">
      <c r="C90" s="46" t="s">
        <v>280</v>
      </c>
      <c r="D90" s="46" t="s">
        <v>296</v>
      </c>
      <c r="E90" s="46"/>
      <c r="F90" s="45"/>
      <c r="G90" s="45"/>
      <c r="H90" s="49"/>
      <c r="I90" s="45"/>
      <c r="J90" s="64" t="s">
        <v>49</v>
      </c>
      <c r="K90" s="46" t="s">
        <v>160</v>
      </c>
      <c r="L90" s="46"/>
      <c r="M90" s="45"/>
      <c r="N90" s="49"/>
      <c r="O90" s="43" t="s">
        <v>297</v>
      </c>
      <c r="P90" s="49">
        <v>7059</v>
      </c>
      <c r="Q90" s="813"/>
      <c r="R90" s="807"/>
      <c r="S90" s="807"/>
      <c r="T90" s="45"/>
    </row>
    <row r="91" spans="3:20" x14ac:dyDescent="0.2">
      <c r="C91" s="46" t="s">
        <v>280</v>
      </c>
      <c r="D91" s="46" t="s">
        <v>298</v>
      </c>
      <c r="E91" s="46"/>
      <c r="F91" s="45"/>
      <c r="G91" s="45"/>
      <c r="H91" s="49"/>
      <c r="I91" s="45"/>
      <c r="J91" s="46" t="s">
        <v>160</v>
      </c>
      <c r="K91" s="46" t="s">
        <v>160</v>
      </c>
      <c r="L91" s="46"/>
      <c r="M91" s="45"/>
      <c r="N91" s="49"/>
      <c r="O91" s="43" t="s">
        <v>182</v>
      </c>
      <c r="P91" s="49">
        <v>7060</v>
      </c>
      <c r="Q91" s="813"/>
      <c r="R91" s="817"/>
      <c r="S91" s="817"/>
      <c r="T91" s="45"/>
    </row>
    <row r="92" spans="3:20" x14ac:dyDescent="0.2">
      <c r="C92" s="46"/>
      <c r="D92" s="46"/>
      <c r="E92" s="46"/>
      <c r="F92" s="45"/>
      <c r="G92" s="45"/>
      <c r="H92" s="49"/>
      <c r="I92" s="45"/>
      <c r="J92" s="46"/>
      <c r="K92" s="46"/>
      <c r="L92" s="46"/>
      <c r="M92" s="45"/>
      <c r="N92" s="49"/>
      <c r="O92" s="43"/>
      <c r="P92" s="49"/>
      <c r="Q92" s="42"/>
      <c r="R92" s="379"/>
      <c r="S92" s="379"/>
      <c r="T92" s="45"/>
    </row>
    <row r="93" spans="3:20" x14ac:dyDescent="0.2">
      <c r="C93" s="46" t="s">
        <v>280</v>
      </c>
      <c r="D93" s="63" t="s">
        <v>228</v>
      </c>
      <c r="E93" s="63"/>
      <c r="F93" s="45"/>
      <c r="G93" s="45"/>
      <c r="H93" s="49"/>
      <c r="I93" s="45"/>
      <c r="J93" s="63"/>
      <c r="K93" s="46"/>
      <c r="L93" s="46"/>
      <c r="M93" s="45"/>
      <c r="N93" s="49"/>
      <c r="O93" s="46" t="s">
        <v>269</v>
      </c>
      <c r="P93" s="49">
        <v>7066</v>
      </c>
      <c r="Q93" s="813" t="s">
        <v>300</v>
      </c>
      <c r="R93" s="816" t="s">
        <v>459</v>
      </c>
      <c r="S93" s="816" t="s">
        <v>611</v>
      </c>
      <c r="T93" s="45"/>
    </row>
    <row r="94" spans="3:20" x14ac:dyDescent="0.2">
      <c r="C94" s="46" t="s">
        <v>280</v>
      </c>
      <c r="D94" s="46" t="s">
        <v>301</v>
      </c>
      <c r="E94" s="46"/>
      <c r="F94" s="45"/>
      <c r="G94" s="45"/>
      <c r="H94" s="49"/>
      <c r="I94" s="45"/>
      <c r="J94" s="64" t="s">
        <v>49</v>
      </c>
      <c r="K94" s="46" t="s">
        <v>160</v>
      </c>
      <c r="L94" s="46"/>
      <c r="M94" s="45"/>
      <c r="N94" s="49"/>
      <c r="O94" s="43" t="s">
        <v>297</v>
      </c>
      <c r="P94" s="49">
        <v>7058</v>
      </c>
      <c r="Q94" s="813"/>
      <c r="R94" s="807"/>
      <c r="S94" s="807"/>
      <c r="T94" s="45"/>
    </row>
    <row r="95" spans="3:20" x14ac:dyDescent="0.2">
      <c r="C95" s="46" t="s">
        <v>280</v>
      </c>
      <c r="D95" s="46" t="s">
        <v>302</v>
      </c>
      <c r="E95" s="46"/>
      <c r="F95" s="45"/>
      <c r="G95" s="45"/>
      <c r="H95" s="49"/>
      <c r="I95" s="45"/>
      <c r="J95" s="46" t="s">
        <v>160</v>
      </c>
      <c r="K95" s="46" t="s">
        <v>160</v>
      </c>
      <c r="L95" s="46"/>
      <c r="M95" s="45"/>
      <c r="N95" s="49"/>
      <c r="O95" s="43" t="s">
        <v>182</v>
      </c>
      <c r="P95" s="49">
        <v>7053</v>
      </c>
      <c r="Q95" s="813"/>
      <c r="R95" s="817"/>
      <c r="S95" s="817"/>
      <c r="T95" s="45"/>
    </row>
    <row r="96" spans="3:20" x14ac:dyDescent="0.2">
      <c r="C96" s="46"/>
      <c r="D96" s="46"/>
      <c r="E96" s="46"/>
      <c r="F96" s="45"/>
      <c r="G96" s="45"/>
      <c r="H96" s="49"/>
      <c r="I96" s="45"/>
      <c r="J96" s="46"/>
      <c r="K96" s="46"/>
      <c r="L96" s="46"/>
      <c r="M96" s="45"/>
      <c r="N96" s="49"/>
      <c r="O96" s="43"/>
      <c r="P96" s="49"/>
      <c r="Q96" s="42"/>
      <c r="R96" s="379"/>
      <c r="S96" s="379"/>
      <c r="T96" s="45"/>
    </row>
    <row r="97" spans="2:23" x14ac:dyDescent="0.2">
      <c r="C97" s="46" t="s">
        <v>280</v>
      </c>
      <c r="D97" s="46" t="s">
        <v>303</v>
      </c>
      <c r="E97" s="46"/>
      <c r="F97" s="45"/>
      <c r="G97" s="45"/>
      <c r="H97" s="85"/>
      <c r="I97" s="45"/>
      <c r="J97" s="46" t="s">
        <v>160</v>
      </c>
      <c r="K97" s="46" t="s">
        <v>160</v>
      </c>
      <c r="L97" s="46"/>
      <c r="M97" s="45"/>
      <c r="N97" s="85"/>
      <c r="O97" s="43" t="s">
        <v>304</v>
      </c>
      <c r="P97" s="814"/>
      <c r="Q97" s="814" t="s">
        <v>305</v>
      </c>
      <c r="R97" s="816" t="s">
        <v>114</v>
      </c>
      <c r="S97" s="816" t="s">
        <v>610</v>
      </c>
      <c r="T97" s="45"/>
    </row>
    <row r="98" spans="2:23" x14ac:dyDescent="0.2">
      <c r="C98" s="46" t="s">
        <v>280</v>
      </c>
      <c r="D98" s="46" t="s">
        <v>306</v>
      </c>
      <c r="E98" s="46"/>
      <c r="F98" s="45"/>
      <c r="G98" s="45"/>
      <c r="H98" s="59"/>
      <c r="I98" s="45"/>
      <c r="J98" s="46" t="s">
        <v>160</v>
      </c>
      <c r="K98" s="46"/>
      <c r="L98" s="46"/>
      <c r="M98" s="45"/>
      <c r="N98" s="59"/>
      <c r="O98" s="43" t="s">
        <v>223</v>
      </c>
      <c r="P98" s="798"/>
      <c r="Q98" s="814"/>
      <c r="R98" s="817"/>
      <c r="S98" s="817"/>
      <c r="T98" s="45"/>
    </row>
    <row r="99" spans="2:23" x14ac:dyDescent="0.2">
      <c r="C99" s="46"/>
      <c r="D99" s="46"/>
      <c r="E99" s="46"/>
      <c r="F99" s="45"/>
      <c r="G99" s="45"/>
      <c r="H99" s="59"/>
      <c r="I99" s="45"/>
      <c r="J99" s="46"/>
      <c r="K99" s="46"/>
      <c r="L99" s="46"/>
      <c r="M99" s="45"/>
      <c r="N99" s="59"/>
      <c r="O99" s="43"/>
      <c r="P99" s="49"/>
      <c r="Q99" s="380"/>
      <c r="R99" s="379"/>
      <c r="S99" s="379"/>
      <c r="T99" s="45"/>
    </row>
    <row r="100" spans="2:23" x14ac:dyDescent="0.2">
      <c r="C100" s="46" t="s">
        <v>280</v>
      </c>
      <c r="D100" s="46" t="s">
        <v>307</v>
      </c>
      <c r="E100" s="46"/>
      <c r="F100" s="45"/>
      <c r="G100" s="45"/>
      <c r="H100" s="85"/>
      <c r="I100" s="45"/>
      <c r="J100" s="46" t="s">
        <v>160</v>
      </c>
      <c r="K100" s="46" t="s">
        <v>160</v>
      </c>
      <c r="L100" s="46"/>
      <c r="M100" s="45"/>
      <c r="N100" s="85"/>
      <c r="O100" s="43" t="s">
        <v>308</v>
      </c>
      <c r="P100" s="814"/>
      <c r="Q100" s="814" t="s">
        <v>309</v>
      </c>
      <c r="R100" s="816" t="s">
        <v>114</v>
      </c>
      <c r="S100" s="816" t="s">
        <v>610</v>
      </c>
      <c r="T100" s="45"/>
    </row>
    <row r="101" spans="2:23" x14ac:dyDescent="0.2">
      <c r="C101" s="46" t="s">
        <v>280</v>
      </c>
      <c r="D101" s="46" t="s">
        <v>310</v>
      </c>
      <c r="E101" s="46"/>
      <c r="F101" s="45"/>
      <c r="G101" s="45"/>
      <c r="H101" s="59"/>
      <c r="I101" s="45"/>
      <c r="J101" s="46" t="s">
        <v>160</v>
      </c>
      <c r="K101" s="46" t="s">
        <v>160</v>
      </c>
      <c r="L101" s="46"/>
      <c r="M101" s="45"/>
      <c r="N101" s="59"/>
      <c r="O101" s="43" t="s">
        <v>167</v>
      </c>
      <c r="P101" s="798"/>
      <c r="Q101" s="814"/>
      <c r="R101" s="817"/>
      <c r="S101" s="817"/>
      <c r="T101" s="45"/>
    </row>
    <row r="102" spans="2:23" x14ac:dyDescent="0.2">
      <c r="D102" s="47"/>
      <c r="E102" s="47"/>
      <c r="H102" s="117"/>
      <c r="I102" s="40" t="s">
        <v>160</v>
      </c>
      <c r="J102" s="47">
        <f>COUNTIF(J7:K101,"BG")</f>
        <v>87</v>
      </c>
      <c r="K102" s="47"/>
      <c r="L102" s="47"/>
      <c r="N102" s="117"/>
      <c r="O102" s="118"/>
      <c r="P102" s="119"/>
      <c r="Q102" s="120"/>
      <c r="R102" s="176"/>
      <c r="S102" s="176"/>
    </row>
    <row r="103" spans="2:23" x14ac:dyDescent="0.2">
      <c r="D103" s="47"/>
      <c r="E103" s="47"/>
      <c r="H103" s="117"/>
      <c r="I103" s="40" t="s">
        <v>49</v>
      </c>
      <c r="J103" s="47">
        <f>COUNTIF(J7:K101,"BM")</f>
        <v>10</v>
      </c>
      <c r="K103" s="47"/>
      <c r="L103" s="47"/>
      <c r="N103" s="117"/>
      <c r="O103" s="118"/>
      <c r="P103" s="119"/>
      <c r="Q103" s="120"/>
      <c r="R103" s="176"/>
      <c r="S103" s="176"/>
    </row>
    <row r="104" spans="2:23" x14ac:dyDescent="0.2">
      <c r="D104" s="47"/>
      <c r="E104" s="47"/>
      <c r="H104" s="117"/>
      <c r="J104" s="47"/>
      <c r="K104" s="47"/>
      <c r="L104" s="47"/>
      <c r="N104" s="117"/>
      <c r="O104" s="118"/>
      <c r="P104" s="119"/>
      <c r="Q104" s="120"/>
      <c r="R104" s="176"/>
      <c r="S104" s="176"/>
    </row>
    <row r="105" spans="2:23" x14ac:dyDescent="0.2">
      <c r="D105" s="47"/>
      <c r="E105" s="47"/>
      <c r="H105" s="117"/>
      <c r="J105" s="47"/>
      <c r="K105" s="47"/>
      <c r="L105" s="47"/>
      <c r="N105" s="117"/>
      <c r="O105" s="118"/>
      <c r="P105" s="119"/>
      <c r="Q105" s="120"/>
      <c r="R105" s="176"/>
      <c r="S105" s="176"/>
    </row>
    <row r="106" spans="2:23" ht="17" thickBot="1" x14ac:dyDescent="0.25">
      <c r="D106" s="47"/>
      <c r="E106" s="47"/>
      <c r="H106" s="117"/>
      <c r="J106" s="47"/>
      <c r="K106" s="47"/>
      <c r="L106" s="47"/>
      <c r="N106" s="117"/>
      <c r="O106" s="118"/>
      <c r="P106" s="119"/>
      <c r="Q106" s="120"/>
    </row>
    <row r="107" spans="2:23" ht="17.25" customHeight="1" x14ac:dyDescent="0.2">
      <c r="C107" s="393" t="s">
        <v>436</v>
      </c>
      <c r="D107" s="394"/>
      <c r="E107" s="394"/>
      <c r="F107" s="394"/>
      <c r="G107" s="394"/>
      <c r="H107" s="394"/>
      <c r="I107" s="394"/>
      <c r="J107" s="394"/>
      <c r="K107" s="394"/>
      <c r="L107" s="394"/>
      <c r="M107" s="394"/>
      <c r="N107" s="394"/>
      <c r="O107" s="394"/>
      <c r="P107" s="394"/>
      <c r="Q107" s="394"/>
      <c r="R107" s="395"/>
      <c r="S107" s="395"/>
      <c r="T107" s="396"/>
      <c r="U107" s="39"/>
      <c r="V107" s="39"/>
      <c r="W107" s="39"/>
    </row>
    <row r="108" spans="2:23" ht="12.75" customHeight="1" thickBot="1" x14ac:dyDescent="0.25">
      <c r="C108" s="397"/>
      <c r="D108" s="398"/>
      <c r="E108" s="398"/>
      <c r="F108" s="398"/>
      <c r="G108" s="398"/>
      <c r="H108" s="398"/>
      <c r="I108" s="398"/>
      <c r="J108" s="398"/>
      <c r="K108" s="398"/>
      <c r="L108" s="398"/>
      <c r="M108" s="398"/>
      <c r="N108" s="398"/>
      <c r="O108" s="398"/>
      <c r="P108" s="398"/>
      <c r="Q108" s="398"/>
      <c r="R108" s="399"/>
      <c r="S108" s="399"/>
      <c r="T108" s="400"/>
      <c r="U108" s="39"/>
      <c r="V108" s="39"/>
      <c r="W108" s="39"/>
    </row>
    <row r="109" spans="2:23" ht="40.5" customHeight="1" x14ac:dyDescent="0.2">
      <c r="B109" s="252" t="s">
        <v>765</v>
      </c>
      <c r="C109" s="264"/>
      <c r="D109" s="224" t="s">
        <v>50</v>
      </c>
      <c r="E109" s="224"/>
      <c r="F109" s="241" t="s">
        <v>50</v>
      </c>
      <c r="G109" s="131" t="s">
        <v>393</v>
      </c>
      <c r="H109" s="228" t="s">
        <v>843</v>
      </c>
      <c r="I109" s="131"/>
      <c r="J109" s="391" t="s">
        <v>766</v>
      </c>
      <c r="K109" s="131"/>
      <c r="L109" s="131"/>
      <c r="M109" s="392" t="s">
        <v>760</v>
      </c>
      <c r="N109" s="228"/>
      <c r="O109" s="200" t="s">
        <v>395</v>
      </c>
      <c r="P109" s="795">
        <v>544148460</v>
      </c>
      <c r="Q109" s="787" t="s">
        <v>394</v>
      </c>
      <c r="R109" s="807" t="s">
        <v>114</v>
      </c>
      <c r="S109" s="806" t="s">
        <v>610</v>
      </c>
      <c r="T109" s="810"/>
    </row>
    <row r="110" spans="2:23" ht="15.5" customHeight="1" x14ac:dyDescent="0.2">
      <c r="C110" s="234"/>
      <c r="D110" s="42" t="s">
        <v>1568</v>
      </c>
      <c r="E110" s="42"/>
      <c r="F110" s="60" t="s">
        <v>334</v>
      </c>
      <c r="G110" s="12" t="s">
        <v>841</v>
      </c>
      <c r="H110" s="12" t="s">
        <v>1348</v>
      </c>
      <c r="I110" s="12"/>
      <c r="J110" s="50" t="s">
        <v>335</v>
      </c>
      <c r="K110" s="50" t="s">
        <v>844</v>
      </c>
      <c r="L110" s="50"/>
      <c r="M110" s="52" t="s">
        <v>764</v>
      </c>
      <c r="N110" s="45"/>
      <c r="O110" s="51" t="s">
        <v>845</v>
      </c>
      <c r="P110" s="804"/>
      <c r="Q110" s="769"/>
      <c r="R110" s="807"/>
      <c r="S110" s="807"/>
      <c r="T110" s="811"/>
    </row>
    <row r="111" spans="2:23" ht="15.5" customHeight="1" x14ac:dyDescent="0.2">
      <c r="C111" s="234"/>
      <c r="D111" s="42" t="s">
        <v>336</v>
      </c>
      <c r="E111" s="42"/>
      <c r="F111" s="60" t="s">
        <v>336</v>
      </c>
      <c r="G111" s="12" t="s">
        <v>842</v>
      </c>
      <c r="H111" s="12" t="s">
        <v>1349</v>
      </c>
      <c r="I111" s="12"/>
      <c r="J111" s="12"/>
      <c r="K111" s="50"/>
      <c r="L111" s="50"/>
      <c r="M111" s="52" t="s">
        <v>396</v>
      </c>
      <c r="N111" s="45"/>
      <c r="O111" s="51"/>
      <c r="P111" s="804"/>
      <c r="Q111" s="769"/>
      <c r="R111" s="807"/>
      <c r="S111" s="807"/>
      <c r="T111" s="811"/>
    </row>
    <row r="112" spans="2:23" ht="15.5" customHeight="1" thickBot="1" x14ac:dyDescent="0.25">
      <c r="C112" s="236"/>
      <c r="D112" s="128"/>
      <c r="E112" s="128"/>
      <c r="F112" s="237" t="s">
        <v>337</v>
      </c>
      <c r="G112" s="238"/>
      <c r="H112" s="209"/>
      <c r="I112" s="238"/>
      <c r="J112" s="238"/>
      <c r="K112" s="238"/>
      <c r="L112" s="238"/>
      <c r="M112" s="272"/>
      <c r="N112" s="209"/>
      <c r="O112" s="238"/>
      <c r="P112" s="805"/>
      <c r="Q112" s="788"/>
      <c r="R112" s="808"/>
      <c r="S112" s="808"/>
      <c r="T112" s="812"/>
    </row>
    <row r="113" spans="3:20" ht="17" thickBot="1" x14ac:dyDescent="0.25">
      <c r="C113" s="266"/>
      <c r="D113" s="267"/>
      <c r="E113" s="267"/>
      <c r="F113" s="268" t="s">
        <v>338</v>
      </c>
      <c r="G113" s="269"/>
      <c r="H113" s="267"/>
      <c r="I113" s="269"/>
      <c r="J113" s="270"/>
      <c r="K113" s="269"/>
      <c r="L113" s="269"/>
      <c r="M113" s="270"/>
      <c r="N113" s="267"/>
      <c r="O113" s="270"/>
      <c r="P113" s="267"/>
      <c r="Q113" s="270"/>
      <c r="R113" s="267"/>
      <c r="S113" s="267"/>
      <c r="T113" s="267"/>
    </row>
    <row r="114" spans="3:20" ht="36.75" customHeight="1" x14ac:dyDescent="0.2">
      <c r="C114" s="229"/>
      <c r="D114" s="204" t="s">
        <v>52</v>
      </c>
      <c r="E114" s="204"/>
      <c r="F114" s="231" t="s">
        <v>52</v>
      </c>
      <c r="G114" s="204" t="s">
        <v>397</v>
      </c>
      <c r="H114" s="204" t="s">
        <v>397</v>
      </c>
      <c r="I114" s="204"/>
      <c r="J114" s="232" t="s">
        <v>753</v>
      </c>
      <c r="K114" s="204"/>
      <c r="L114" s="204"/>
      <c r="M114" s="271" t="s">
        <v>396</v>
      </c>
      <c r="N114" s="204"/>
      <c r="O114" s="100" t="s">
        <v>399</v>
      </c>
      <c r="P114" s="230"/>
      <c r="Q114" s="787" t="s">
        <v>398</v>
      </c>
      <c r="R114" s="820" t="s">
        <v>114</v>
      </c>
      <c r="S114" s="806" t="s">
        <v>610</v>
      </c>
      <c r="T114" s="810"/>
    </row>
    <row r="115" spans="3:20" ht="33.75" customHeight="1" x14ac:dyDescent="0.2">
      <c r="C115" s="234"/>
      <c r="D115" s="12"/>
      <c r="E115" s="12"/>
      <c r="F115" s="60"/>
      <c r="G115" s="12" t="s">
        <v>400</v>
      </c>
      <c r="H115" s="12" t="s">
        <v>400</v>
      </c>
      <c r="I115" s="12"/>
      <c r="J115" s="53"/>
      <c r="K115" s="12" t="s">
        <v>160</v>
      </c>
      <c r="L115" s="12"/>
      <c r="M115" s="52" t="s">
        <v>396</v>
      </c>
      <c r="N115" s="12"/>
      <c r="O115" s="51" t="s">
        <v>751</v>
      </c>
      <c r="P115" s="45"/>
      <c r="Q115" s="769"/>
      <c r="R115" s="821"/>
      <c r="S115" s="807"/>
      <c r="T115" s="811"/>
    </row>
    <row r="116" spans="3:20" ht="34" x14ac:dyDescent="0.2">
      <c r="C116" s="234"/>
      <c r="D116" s="12" t="s">
        <v>54</v>
      </c>
      <c r="E116" s="12"/>
      <c r="F116" s="60" t="s">
        <v>54</v>
      </c>
      <c r="G116" s="12" t="s">
        <v>397</v>
      </c>
      <c r="H116" s="12" t="s">
        <v>397</v>
      </c>
      <c r="I116" s="12"/>
      <c r="J116" s="227" t="s">
        <v>754</v>
      </c>
      <c r="K116" s="12"/>
      <c r="L116" s="12"/>
      <c r="M116" s="52" t="s">
        <v>396</v>
      </c>
      <c r="N116" s="12"/>
      <c r="O116" s="51" t="s">
        <v>401</v>
      </c>
      <c r="P116" s="45"/>
      <c r="Q116" s="769"/>
      <c r="R116" s="821"/>
      <c r="S116" s="807"/>
      <c r="T116" s="811"/>
    </row>
    <row r="117" spans="3:20" ht="38.5" customHeight="1" thickBot="1" x14ac:dyDescent="0.25">
      <c r="C117" s="236"/>
      <c r="D117" s="134"/>
      <c r="E117" s="134"/>
      <c r="F117" s="243"/>
      <c r="G117" s="134" t="s">
        <v>400</v>
      </c>
      <c r="H117" s="134" t="s">
        <v>400</v>
      </c>
      <c r="I117" s="134"/>
      <c r="J117" s="238"/>
      <c r="K117" s="134" t="s">
        <v>160</v>
      </c>
      <c r="L117" s="134"/>
      <c r="M117" s="272" t="s">
        <v>396</v>
      </c>
      <c r="N117" s="134"/>
      <c r="O117" s="189" t="s">
        <v>752</v>
      </c>
      <c r="P117" s="209"/>
      <c r="Q117" s="788"/>
      <c r="R117" s="822"/>
      <c r="S117" s="808"/>
      <c r="T117" s="812"/>
    </row>
    <row r="118" spans="3:20" ht="17" thickBot="1" x14ac:dyDescent="0.25">
      <c r="C118" s="382"/>
      <c r="D118" s="190"/>
      <c r="E118" s="190"/>
      <c r="F118" s="190"/>
      <c r="G118" s="190"/>
      <c r="H118" s="190"/>
      <c r="I118" s="190"/>
      <c r="J118" s="190"/>
      <c r="K118" s="190"/>
      <c r="L118" s="190"/>
      <c r="M118" s="190"/>
      <c r="N118" s="316"/>
      <c r="O118" s="191"/>
      <c r="P118" s="381"/>
      <c r="Q118" s="190"/>
      <c r="R118" s="190"/>
      <c r="S118" s="190"/>
      <c r="T118" s="190"/>
    </row>
    <row r="119" spans="3:20" ht="15.5" customHeight="1" x14ac:dyDescent="0.2">
      <c r="C119" s="229"/>
      <c r="D119" s="204" t="s">
        <v>339</v>
      </c>
      <c r="E119" s="204"/>
      <c r="F119" s="231" t="s">
        <v>339</v>
      </c>
      <c r="G119" s="204" t="s">
        <v>403</v>
      </c>
      <c r="H119" s="204" t="s">
        <v>1350</v>
      </c>
      <c r="I119" s="204"/>
      <c r="J119" s="204" t="s">
        <v>160</v>
      </c>
      <c r="K119" s="204"/>
      <c r="L119" s="204"/>
      <c r="M119" s="204" t="s">
        <v>761</v>
      </c>
      <c r="N119" s="280"/>
      <c r="O119" s="100" t="s">
        <v>405</v>
      </c>
      <c r="P119" s="230"/>
      <c r="Q119" s="787" t="s">
        <v>404</v>
      </c>
      <c r="R119" s="806" t="s">
        <v>114</v>
      </c>
      <c r="S119" s="806" t="s">
        <v>610</v>
      </c>
      <c r="T119" s="810"/>
    </row>
    <row r="120" spans="3:20" ht="15.5" customHeight="1" x14ac:dyDescent="0.2">
      <c r="C120" s="234"/>
      <c r="D120" s="12" t="s">
        <v>340</v>
      </c>
      <c r="E120" s="12"/>
      <c r="F120" s="60" t="s">
        <v>340</v>
      </c>
      <c r="G120" s="12" t="s">
        <v>403</v>
      </c>
      <c r="H120" s="12" t="s">
        <v>1351</v>
      </c>
      <c r="I120" s="12"/>
      <c r="J120" s="12" t="s">
        <v>160</v>
      </c>
      <c r="K120" s="12"/>
      <c r="L120" s="12"/>
      <c r="M120" s="12" t="s">
        <v>761</v>
      </c>
      <c r="N120" s="46"/>
      <c r="O120" s="51" t="s">
        <v>406</v>
      </c>
      <c r="P120" s="45"/>
      <c r="Q120" s="769"/>
      <c r="R120" s="807"/>
      <c r="S120" s="807"/>
      <c r="T120" s="811"/>
    </row>
    <row r="121" spans="3:20" ht="15.5" customHeight="1" x14ac:dyDescent="0.2">
      <c r="C121" s="234"/>
      <c r="D121" s="12" t="s">
        <v>341</v>
      </c>
      <c r="E121" s="12"/>
      <c r="F121" s="60" t="s">
        <v>341</v>
      </c>
      <c r="G121" s="12" t="s">
        <v>403</v>
      </c>
      <c r="H121" s="12" t="s">
        <v>1352</v>
      </c>
      <c r="I121" s="12"/>
      <c r="J121" s="12" t="s">
        <v>160</v>
      </c>
      <c r="K121" s="12"/>
      <c r="L121" s="12"/>
      <c r="M121" s="12" t="s">
        <v>761</v>
      </c>
      <c r="N121" s="46"/>
      <c r="O121" s="51" t="s">
        <v>407</v>
      </c>
      <c r="P121" s="45"/>
      <c r="Q121" s="769"/>
      <c r="R121" s="807"/>
      <c r="S121" s="807"/>
      <c r="T121" s="811"/>
    </row>
    <row r="122" spans="3:20" ht="15.5" customHeight="1" thickBot="1" x14ac:dyDescent="0.25">
      <c r="C122" s="236"/>
      <c r="D122" s="134" t="s">
        <v>342</v>
      </c>
      <c r="E122" s="134"/>
      <c r="F122" s="243" t="s">
        <v>342</v>
      </c>
      <c r="G122" s="134" t="s">
        <v>403</v>
      </c>
      <c r="H122" s="134" t="s">
        <v>1353</v>
      </c>
      <c r="I122" s="134"/>
      <c r="J122" s="134" t="s">
        <v>160</v>
      </c>
      <c r="K122" s="134"/>
      <c r="L122" s="134"/>
      <c r="M122" s="134" t="s">
        <v>761</v>
      </c>
      <c r="N122" s="279"/>
      <c r="O122" s="189" t="s">
        <v>408</v>
      </c>
      <c r="P122" s="209"/>
      <c r="Q122" s="788"/>
      <c r="R122" s="808"/>
      <c r="S122" s="808"/>
      <c r="T122" s="812"/>
    </row>
    <row r="123" spans="3:20" ht="17" thickBot="1" x14ac:dyDescent="0.25">
      <c r="C123" s="382"/>
      <c r="D123" s="190"/>
      <c r="E123" s="190"/>
      <c r="F123" s="190"/>
      <c r="G123" s="190"/>
      <c r="H123" s="125"/>
      <c r="I123" s="190"/>
      <c r="J123" s="190"/>
      <c r="K123" s="190"/>
      <c r="L123" s="190"/>
      <c r="M123" s="190"/>
      <c r="N123" s="316"/>
      <c r="O123" s="191"/>
      <c r="P123" s="381"/>
      <c r="Q123" s="190"/>
      <c r="R123" s="190"/>
      <c r="S123" s="190"/>
      <c r="T123" s="190"/>
    </row>
    <row r="124" spans="3:20" ht="15.5" customHeight="1" x14ac:dyDescent="0.2">
      <c r="C124" s="229"/>
      <c r="D124" s="204" t="s">
        <v>343</v>
      </c>
      <c r="E124" s="204"/>
      <c r="F124" s="231" t="s">
        <v>343</v>
      </c>
      <c r="G124" s="204" t="s">
        <v>403</v>
      </c>
      <c r="H124" s="204" t="s">
        <v>1354</v>
      </c>
      <c r="I124" s="204"/>
      <c r="J124" s="204" t="s">
        <v>160</v>
      </c>
      <c r="K124" s="204"/>
      <c r="L124" s="204"/>
      <c r="M124" s="204" t="s">
        <v>761</v>
      </c>
      <c r="N124" s="280"/>
      <c r="O124" s="100" t="s">
        <v>405</v>
      </c>
      <c r="P124" s="230"/>
      <c r="Q124" s="787" t="s">
        <v>409</v>
      </c>
      <c r="R124" s="806" t="s">
        <v>114</v>
      </c>
      <c r="S124" s="806" t="s">
        <v>610</v>
      </c>
      <c r="T124" s="810"/>
    </row>
    <row r="125" spans="3:20" ht="15.5" customHeight="1" x14ac:dyDescent="0.2">
      <c r="C125" s="234"/>
      <c r="D125" s="12" t="s">
        <v>344</v>
      </c>
      <c r="E125" s="12"/>
      <c r="F125" s="60" t="s">
        <v>344</v>
      </c>
      <c r="G125" s="12" t="s">
        <v>403</v>
      </c>
      <c r="H125" s="12" t="s">
        <v>1355</v>
      </c>
      <c r="I125" s="12"/>
      <c r="J125" s="12" t="s">
        <v>160</v>
      </c>
      <c r="K125" s="12"/>
      <c r="L125" s="12"/>
      <c r="M125" s="12" t="s">
        <v>761</v>
      </c>
      <c r="N125" s="46"/>
      <c r="O125" s="51" t="s">
        <v>406</v>
      </c>
      <c r="P125" s="45"/>
      <c r="Q125" s="769"/>
      <c r="R125" s="807"/>
      <c r="S125" s="807"/>
      <c r="T125" s="811"/>
    </row>
    <row r="126" spans="3:20" ht="15.5" customHeight="1" x14ac:dyDescent="0.2">
      <c r="C126" s="234"/>
      <c r="D126" s="12" t="s">
        <v>345</v>
      </c>
      <c r="E126" s="12"/>
      <c r="F126" s="60" t="s">
        <v>345</v>
      </c>
      <c r="G126" s="12" t="s">
        <v>403</v>
      </c>
      <c r="H126" s="12" t="s">
        <v>1356</v>
      </c>
      <c r="I126" s="12"/>
      <c r="J126" s="12" t="s">
        <v>160</v>
      </c>
      <c r="K126" s="12"/>
      <c r="L126" s="12"/>
      <c r="M126" s="12" t="s">
        <v>761</v>
      </c>
      <c r="N126" s="46"/>
      <c r="O126" s="51" t="s">
        <v>407</v>
      </c>
      <c r="P126" s="45"/>
      <c r="Q126" s="769"/>
      <c r="R126" s="807"/>
      <c r="S126" s="807"/>
      <c r="T126" s="811"/>
    </row>
    <row r="127" spans="3:20" ht="15.5" customHeight="1" thickBot="1" x14ac:dyDescent="0.25">
      <c r="C127" s="236"/>
      <c r="D127" s="134" t="s">
        <v>346</v>
      </c>
      <c r="E127" s="134"/>
      <c r="F127" s="243" t="s">
        <v>346</v>
      </c>
      <c r="G127" s="134" t="s">
        <v>403</v>
      </c>
      <c r="H127" s="134" t="s">
        <v>1357</v>
      </c>
      <c r="I127" s="134"/>
      <c r="J127" s="134" t="s">
        <v>160</v>
      </c>
      <c r="K127" s="134"/>
      <c r="L127" s="134"/>
      <c r="M127" s="134" t="s">
        <v>761</v>
      </c>
      <c r="N127" s="279"/>
      <c r="O127" s="189" t="s">
        <v>408</v>
      </c>
      <c r="P127" s="209"/>
      <c r="Q127" s="788"/>
      <c r="R127" s="808"/>
      <c r="S127" s="808"/>
      <c r="T127" s="812"/>
    </row>
    <row r="128" spans="3:20" ht="17" thickBot="1" x14ac:dyDescent="0.25">
      <c r="C128" s="382"/>
      <c r="D128" s="190"/>
      <c r="E128" s="190"/>
      <c r="F128" s="190"/>
      <c r="G128" s="190"/>
      <c r="H128" s="190"/>
      <c r="I128" s="190"/>
      <c r="J128" s="190"/>
      <c r="K128" s="190"/>
      <c r="L128" s="190"/>
      <c r="M128" s="190"/>
      <c r="N128" s="316"/>
      <c r="O128" s="191"/>
      <c r="P128" s="381"/>
      <c r="Q128" s="190"/>
      <c r="R128" s="190"/>
      <c r="S128" s="190"/>
      <c r="T128" s="190"/>
    </row>
    <row r="129" spans="2:20" ht="32.5" customHeight="1" x14ac:dyDescent="0.2">
      <c r="C129" s="244"/>
      <c r="D129" s="204" t="s">
        <v>56</v>
      </c>
      <c r="E129" s="204"/>
      <c r="F129" s="231" t="s">
        <v>56</v>
      </c>
      <c r="G129" s="204" t="s">
        <v>410</v>
      </c>
      <c r="H129" s="204" t="s">
        <v>1358</v>
      </c>
      <c r="I129" s="204"/>
      <c r="J129" s="232" t="s">
        <v>347</v>
      </c>
      <c r="K129" s="204"/>
      <c r="L129" s="204"/>
      <c r="M129" s="233" t="s">
        <v>760</v>
      </c>
      <c r="N129" s="230"/>
      <c r="O129" s="100" t="s">
        <v>395</v>
      </c>
      <c r="P129" s="230"/>
      <c r="Q129" s="787" t="s">
        <v>411</v>
      </c>
      <c r="R129" s="806" t="s">
        <v>114</v>
      </c>
      <c r="S129" s="806" t="s">
        <v>610</v>
      </c>
      <c r="T129" s="810"/>
    </row>
    <row r="130" spans="2:20" ht="15.5" customHeight="1" x14ac:dyDescent="0.2">
      <c r="C130" s="245"/>
      <c r="D130" s="12" t="s">
        <v>348</v>
      </c>
      <c r="E130" s="12"/>
      <c r="F130" s="60" t="s">
        <v>348</v>
      </c>
      <c r="G130" s="12" t="s">
        <v>412</v>
      </c>
      <c r="H130" s="12" t="s">
        <v>1359</v>
      </c>
      <c r="I130" s="12"/>
      <c r="J130" s="12" t="s">
        <v>160</v>
      </c>
      <c r="K130" s="12"/>
      <c r="L130" s="12"/>
      <c r="M130" s="50" t="s">
        <v>760</v>
      </c>
      <c r="N130" s="46"/>
      <c r="O130" s="51" t="s">
        <v>406</v>
      </c>
      <c r="P130" s="45"/>
      <c r="Q130" s="769"/>
      <c r="R130" s="807"/>
      <c r="S130" s="807"/>
      <c r="T130" s="811"/>
    </row>
    <row r="131" spans="2:20" ht="15.5" customHeight="1" x14ac:dyDescent="0.2">
      <c r="C131" s="245"/>
      <c r="D131" s="12" t="s">
        <v>349</v>
      </c>
      <c r="E131" s="12"/>
      <c r="F131" s="60" t="s">
        <v>349</v>
      </c>
      <c r="G131" s="12" t="s">
        <v>393</v>
      </c>
      <c r="H131" s="12" t="s">
        <v>1360</v>
      </c>
      <c r="I131" s="12"/>
      <c r="J131" s="12" t="s">
        <v>160</v>
      </c>
      <c r="K131" s="12"/>
      <c r="L131" s="12"/>
      <c r="M131" s="12" t="s">
        <v>761</v>
      </c>
      <c r="N131" s="45"/>
      <c r="O131" s="51" t="s">
        <v>407</v>
      </c>
      <c r="P131" s="45"/>
      <c r="Q131" s="769"/>
      <c r="R131" s="807"/>
      <c r="S131" s="807"/>
      <c r="T131" s="811"/>
    </row>
    <row r="132" spans="2:20" ht="15.5" customHeight="1" thickBot="1" x14ac:dyDescent="0.25">
      <c r="C132" s="246"/>
      <c r="D132" s="134" t="s">
        <v>350</v>
      </c>
      <c r="E132" s="134"/>
      <c r="F132" s="243" t="s">
        <v>350</v>
      </c>
      <c r="G132" s="134" t="s">
        <v>393</v>
      </c>
      <c r="H132" s="134" t="s">
        <v>1360</v>
      </c>
      <c r="I132" s="134"/>
      <c r="J132" s="134" t="s">
        <v>160</v>
      </c>
      <c r="K132" s="134"/>
      <c r="L132" s="134"/>
      <c r="M132" s="134" t="s">
        <v>761</v>
      </c>
      <c r="N132" s="279"/>
      <c r="O132" s="189" t="s">
        <v>408</v>
      </c>
      <c r="P132" s="209"/>
      <c r="Q132" s="788"/>
      <c r="R132" s="808"/>
      <c r="S132" s="808"/>
      <c r="T132" s="812"/>
    </row>
    <row r="133" spans="2:20" ht="17" thickBot="1" x14ac:dyDescent="0.25">
      <c r="C133" s="382"/>
      <c r="D133" s="190"/>
      <c r="E133" s="190"/>
      <c r="F133" s="190"/>
      <c r="G133" s="190"/>
      <c r="H133" s="190"/>
      <c r="I133" s="190"/>
      <c r="J133" s="190"/>
      <c r="K133" s="190"/>
      <c r="L133" s="190"/>
      <c r="M133" s="190"/>
      <c r="N133" s="316"/>
      <c r="O133" s="191"/>
      <c r="P133" s="381"/>
      <c r="Q133" s="190"/>
      <c r="R133" s="190"/>
      <c r="S133" s="190"/>
      <c r="T133" s="190"/>
    </row>
    <row r="134" spans="2:20" ht="18.5" customHeight="1" x14ac:dyDescent="0.2">
      <c r="C134" s="244"/>
      <c r="D134" s="230" t="s">
        <v>1342</v>
      </c>
      <c r="E134" s="230"/>
      <c r="F134" s="204" t="s">
        <v>351</v>
      </c>
      <c r="G134" s="204" t="s">
        <v>414</v>
      </c>
      <c r="H134" s="204"/>
      <c r="I134" s="204"/>
      <c r="J134" s="204" t="s">
        <v>160</v>
      </c>
      <c r="K134" s="204"/>
      <c r="L134" s="204"/>
      <c r="M134" s="204" t="s">
        <v>413</v>
      </c>
      <c r="N134" s="230"/>
      <c r="O134" s="100" t="s">
        <v>405</v>
      </c>
      <c r="P134" s="230"/>
      <c r="Q134" s="787" t="s">
        <v>415</v>
      </c>
      <c r="R134" s="820" t="s">
        <v>114</v>
      </c>
      <c r="S134" s="806" t="s">
        <v>610</v>
      </c>
      <c r="T134" s="810"/>
    </row>
    <row r="135" spans="2:20" ht="15.5" customHeight="1" x14ac:dyDescent="0.2">
      <c r="C135" s="245"/>
      <c r="D135" s="12" t="s">
        <v>352</v>
      </c>
      <c r="E135" s="12"/>
      <c r="F135" s="12" t="s">
        <v>352</v>
      </c>
      <c r="G135" s="12" t="s">
        <v>412</v>
      </c>
      <c r="H135" s="12" t="s">
        <v>1361</v>
      </c>
      <c r="I135" s="12"/>
      <c r="J135" s="12" t="s">
        <v>160</v>
      </c>
      <c r="K135" s="12"/>
      <c r="L135" s="12"/>
      <c r="M135" s="50" t="s">
        <v>760</v>
      </c>
      <c r="N135" s="45"/>
      <c r="O135" s="51" t="s">
        <v>406</v>
      </c>
      <c r="P135" s="45"/>
      <c r="Q135" s="769"/>
      <c r="R135" s="821"/>
      <c r="S135" s="807"/>
      <c r="T135" s="811"/>
    </row>
    <row r="136" spans="2:20" ht="15.5" customHeight="1" thickBot="1" x14ac:dyDescent="0.25">
      <c r="C136" s="245"/>
      <c r="D136" s="12" t="s">
        <v>353</v>
      </c>
      <c r="E136" s="12"/>
      <c r="F136" s="12" t="s">
        <v>353</v>
      </c>
      <c r="G136" s="12" t="s">
        <v>417</v>
      </c>
      <c r="H136" s="12" t="s">
        <v>1359</v>
      </c>
      <c r="I136" s="12"/>
      <c r="J136" s="12" t="s">
        <v>160</v>
      </c>
      <c r="K136" s="12"/>
      <c r="L136" s="12"/>
      <c r="M136" s="12" t="s">
        <v>761</v>
      </c>
      <c r="N136" s="45"/>
      <c r="O136" s="51" t="s">
        <v>407</v>
      </c>
      <c r="P136" s="45"/>
      <c r="Q136" s="769"/>
      <c r="R136" s="821"/>
      <c r="S136" s="807"/>
      <c r="T136" s="811"/>
    </row>
    <row r="137" spans="2:20" ht="31.75" customHeight="1" thickBot="1" x14ac:dyDescent="0.25">
      <c r="C137" s="246"/>
      <c r="D137" s="134" t="s">
        <v>62</v>
      </c>
      <c r="E137" s="134"/>
      <c r="F137" s="134" t="s">
        <v>62</v>
      </c>
      <c r="G137" s="134" t="s">
        <v>393</v>
      </c>
      <c r="H137" s="134" t="s">
        <v>1362</v>
      </c>
      <c r="I137" s="430"/>
      <c r="J137" s="384" t="s">
        <v>354</v>
      </c>
      <c r="K137" s="265"/>
      <c r="L137" s="265"/>
      <c r="M137" s="263" t="s">
        <v>424</v>
      </c>
      <c r="N137" s="209"/>
      <c r="O137" s="189" t="s">
        <v>418</v>
      </c>
      <c r="P137" s="209"/>
      <c r="Q137" s="788"/>
      <c r="R137" s="822"/>
      <c r="S137" s="808"/>
      <c r="T137" s="812"/>
    </row>
    <row r="138" spans="2:20" ht="17" thickBot="1" x14ac:dyDescent="0.25">
      <c r="C138" s="382"/>
      <c r="D138" s="190"/>
      <c r="E138" s="190"/>
      <c r="F138" s="190"/>
      <c r="G138" s="190"/>
      <c r="H138" s="190"/>
      <c r="I138" s="190"/>
      <c r="J138" s="190"/>
      <c r="K138" s="190"/>
      <c r="L138" s="190"/>
      <c r="M138" s="190"/>
      <c r="N138" s="316"/>
      <c r="O138" s="191"/>
      <c r="P138" s="381"/>
      <c r="Q138" s="190"/>
      <c r="R138" s="190"/>
      <c r="S138" s="190"/>
      <c r="T138" s="190"/>
    </row>
    <row r="139" spans="2:20" ht="15.5" customHeight="1" x14ac:dyDescent="0.2">
      <c r="C139" s="244"/>
      <c r="D139" s="204" t="s">
        <v>355</v>
      </c>
      <c r="E139" s="204"/>
      <c r="F139" s="231" t="s">
        <v>355</v>
      </c>
      <c r="G139" s="204" t="s">
        <v>417</v>
      </c>
      <c r="H139" s="280"/>
      <c r="I139" s="204"/>
      <c r="J139" s="204" t="s">
        <v>160</v>
      </c>
      <c r="K139" s="204"/>
      <c r="L139" s="204"/>
      <c r="M139" s="204" t="s">
        <v>760</v>
      </c>
      <c r="N139" s="280"/>
      <c r="O139" s="100" t="s">
        <v>405</v>
      </c>
      <c r="P139" s="230"/>
      <c r="Q139" s="787" t="s">
        <v>419</v>
      </c>
      <c r="R139" s="806" t="s">
        <v>114</v>
      </c>
      <c r="S139" s="806" t="s">
        <v>610</v>
      </c>
      <c r="T139" s="810"/>
    </row>
    <row r="140" spans="2:20" ht="15.5" customHeight="1" x14ac:dyDescent="0.2">
      <c r="C140" s="245"/>
      <c r="D140" s="12" t="s">
        <v>356</v>
      </c>
      <c r="E140" s="12"/>
      <c r="F140" s="60" t="s">
        <v>356</v>
      </c>
      <c r="G140" s="12" t="s">
        <v>417</v>
      </c>
      <c r="H140" s="46"/>
      <c r="I140" s="12"/>
      <c r="J140" s="12" t="s">
        <v>160</v>
      </c>
      <c r="K140" s="12"/>
      <c r="L140" s="12"/>
      <c r="M140" s="12" t="s">
        <v>402</v>
      </c>
      <c r="N140" s="46"/>
      <c r="O140" s="51" t="s">
        <v>406</v>
      </c>
      <c r="P140" s="45"/>
      <c r="Q140" s="769"/>
      <c r="R140" s="807"/>
      <c r="S140" s="807"/>
      <c r="T140" s="811"/>
    </row>
    <row r="141" spans="2:20" ht="15.5" customHeight="1" x14ac:dyDescent="0.2">
      <c r="B141" s="40" t="s">
        <v>1343</v>
      </c>
      <c r="C141" s="245"/>
      <c r="D141" s="12" t="s">
        <v>357</v>
      </c>
      <c r="E141" s="12"/>
      <c r="F141" s="60" t="s">
        <v>357</v>
      </c>
      <c r="G141" s="12" t="s">
        <v>417</v>
      </c>
      <c r="H141" s="46"/>
      <c r="I141" s="12"/>
      <c r="J141" s="12" t="s">
        <v>160</v>
      </c>
      <c r="K141" s="12"/>
      <c r="L141" s="12"/>
      <c r="M141" s="12" t="s">
        <v>402</v>
      </c>
      <c r="N141" s="46"/>
      <c r="O141" s="51" t="s">
        <v>407</v>
      </c>
      <c r="P141" s="45"/>
      <c r="Q141" s="769"/>
      <c r="R141" s="807"/>
      <c r="S141" s="807"/>
      <c r="T141" s="811"/>
    </row>
    <row r="142" spans="2:20" ht="15" customHeight="1" thickBot="1" x14ac:dyDescent="0.25">
      <c r="B142" s="40" t="s">
        <v>767</v>
      </c>
      <c r="C142" s="246"/>
      <c r="D142" s="209"/>
      <c r="E142" s="209"/>
      <c r="F142" s="247" t="s">
        <v>337</v>
      </c>
      <c r="G142" s="238"/>
      <c r="H142" s="279"/>
      <c r="I142" s="238"/>
      <c r="J142" s="134" t="s">
        <v>160</v>
      </c>
      <c r="K142" s="134"/>
      <c r="L142" s="134"/>
      <c r="M142" s="134" t="s">
        <v>416</v>
      </c>
      <c r="N142" s="279"/>
      <c r="O142" s="189" t="s">
        <v>405</v>
      </c>
      <c r="P142" s="209"/>
      <c r="Q142" s="788"/>
      <c r="R142" s="808"/>
      <c r="S142" s="808"/>
      <c r="T142" s="812"/>
    </row>
    <row r="143" spans="2:20" ht="17" thickBot="1" x14ac:dyDescent="0.25">
      <c r="C143" s="382"/>
      <c r="D143" s="190"/>
      <c r="E143" s="190"/>
      <c r="F143" s="190"/>
      <c r="G143" s="190"/>
      <c r="H143" s="190"/>
      <c r="I143" s="190"/>
      <c r="J143" s="190"/>
      <c r="K143" s="190"/>
      <c r="L143" s="190"/>
      <c r="M143" s="190"/>
      <c r="N143" s="316"/>
      <c r="O143" s="191"/>
      <c r="P143" s="381"/>
      <c r="Q143" s="190"/>
      <c r="R143" s="190"/>
      <c r="S143" s="190"/>
      <c r="T143" s="190"/>
    </row>
    <row r="144" spans="2:20" ht="15.5" customHeight="1" x14ac:dyDescent="0.2">
      <c r="B144" s="40" t="s">
        <v>743</v>
      </c>
      <c r="C144" s="244"/>
      <c r="D144" s="280" t="s">
        <v>358</v>
      </c>
      <c r="E144" s="280"/>
      <c r="F144" s="231" t="s">
        <v>358</v>
      </c>
      <c r="G144" s="204" t="s">
        <v>417</v>
      </c>
      <c r="H144" s="204"/>
      <c r="I144" s="204"/>
      <c r="J144" s="204"/>
      <c r="K144" s="204"/>
      <c r="L144" s="204"/>
      <c r="M144" s="204" t="s">
        <v>1652</v>
      </c>
      <c r="N144" s="230"/>
      <c r="O144" s="100" t="s">
        <v>405</v>
      </c>
      <c r="P144" s="230"/>
      <c r="Q144" s="787" t="s">
        <v>420</v>
      </c>
      <c r="R144" s="820" t="s">
        <v>114</v>
      </c>
      <c r="S144" s="806" t="s">
        <v>610</v>
      </c>
      <c r="T144" s="810"/>
    </row>
    <row r="145" spans="2:20" ht="15.5" customHeight="1" x14ac:dyDescent="0.2">
      <c r="C145" s="245"/>
      <c r="F145" s="60"/>
      <c r="G145" s="12"/>
      <c r="H145" s="449"/>
      <c r="I145" s="12"/>
      <c r="J145" s="449"/>
      <c r="K145" s="449"/>
      <c r="L145" s="635"/>
      <c r="M145" s="450"/>
      <c r="N145" s="451"/>
      <c r="O145" s="452"/>
      <c r="P145" s="45"/>
      <c r="Q145" s="769"/>
      <c r="R145" s="821"/>
      <c r="S145" s="807"/>
      <c r="T145" s="811"/>
    </row>
    <row r="146" spans="2:20" ht="15.5" customHeight="1" x14ac:dyDescent="0.2">
      <c r="B146" s="40" t="s">
        <v>743</v>
      </c>
      <c r="C146" s="245"/>
      <c r="D146" s="46" t="s">
        <v>359</v>
      </c>
      <c r="E146" s="46"/>
      <c r="F146" s="60" t="s">
        <v>359</v>
      </c>
      <c r="G146" s="12" t="s">
        <v>412</v>
      </c>
      <c r="H146" s="12" t="s">
        <v>1363</v>
      </c>
      <c r="I146" s="12"/>
      <c r="J146" s="12" t="s">
        <v>160</v>
      </c>
      <c r="K146" s="383" t="s">
        <v>421</v>
      </c>
      <c r="L146" s="383"/>
      <c r="M146" s="50" t="s">
        <v>424</v>
      </c>
      <c r="N146" s="45"/>
      <c r="O146" s="51" t="s">
        <v>407</v>
      </c>
      <c r="P146" s="45"/>
      <c r="Q146" s="769"/>
      <c r="R146" s="821"/>
      <c r="S146" s="807"/>
      <c r="T146" s="811"/>
    </row>
    <row r="147" spans="2:20" ht="18" thickBot="1" x14ac:dyDescent="0.25">
      <c r="C147" s="246"/>
      <c r="D147" s="134" t="s">
        <v>60</v>
      </c>
      <c r="E147" s="134"/>
      <c r="F147" s="273" t="s">
        <v>60</v>
      </c>
      <c r="G147" s="134" t="s">
        <v>393</v>
      </c>
      <c r="H147" s="134" t="s">
        <v>1364</v>
      </c>
      <c r="I147" s="134"/>
      <c r="J147" s="262" t="s">
        <v>786</v>
      </c>
      <c r="K147" s="134"/>
      <c r="L147" s="134"/>
      <c r="M147" s="263" t="s">
        <v>392</v>
      </c>
      <c r="N147" s="209"/>
      <c r="O147" s="189" t="s">
        <v>790</v>
      </c>
      <c r="P147" s="209"/>
      <c r="Q147" s="788"/>
      <c r="R147" s="822"/>
      <c r="S147" s="808"/>
      <c r="T147" s="812"/>
    </row>
    <row r="148" spans="2:20" ht="17" thickBot="1" x14ac:dyDescent="0.25">
      <c r="C148" s="382"/>
      <c r="D148" s="190"/>
      <c r="E148" s="190"/>
      <c r="F148" s="190"/>
      <c r="G148" s="190"/>
      <c r="H148" s="190"/>
      <c r="I148" s="190"/>
      <c r="J148" s="190"/>
      <c r="K148" s="190"/>
      <c r="L148" s="190"/>
      <c r="M148" s="190"/>
      <c r="N148" s="316"/>
      <c r="O148" s="191"/>
      <c r="P148" s="381"/>
      <c r="Q148" s="190"/>
      <c r="R148" s="190"/>
      <c r="S148" s="190"/>
      <c r="T148" s="190"/>
    </row>
    <row r="149" spans="2:20" ht="15.5" customHeight="1" x14ac:dyDescent="0.2">
      <c r="B149" s="40" t="s">
        <v>743</v>
      </c>
      <c r="C149" s="244"/>
      <c r="D149" s="204" t="s">
        <v>1319</v>
      </c>
      <c r="E149" s="204"/>
      <c r="F149" s="231" t="s">
        <v>360</v>
      </c>
      <c r="G149" s="204" t="s">
        <v>412</v>
      </c>
      <c r="H149" s="204" t="s">
        <v>1365</v>
      </c>
      <c r="I149" s="204"/>
      <c r="J149" s="204" t="s">
        <v>160</v>
      </c>
      <c r="K149" s="204"/>
      <c r="L149" s="204"/>
      <c r="M149" s="204" t="s">
        <v>761</v>
      </c>
      <c r="N149" s="230"/>
      <c r="O149" s="100" t="s">
        <v>405</v>
      </c>
      <c r="P149" s="230"/>
      <c r="Q149" s="787" t="s">
        <v>422</v>
      </c>
      <c r="R149" s="820" t="s">
        <v>114</v>
      </c>
      <c r="S149" s="806" t="s">
        <v>610</v>
      </c>
      <c r="T149" s="810"/>
    </row>
    <row r="150" spans="2:20" ht="15.5" customHeight="1" x14ac:dyDescent="0.2">
      <c r="B150" s="40" t="s">
        <v>743</v>
      </c>
      <c r="C150" s="245"/>
      <c r="D150" s="12" t="s">
        <v>1320</v>
      </c>
      <c r="E150" s="12"/>
      <c r="F150" s="60" t="s">
        <v>361</v>
      </c>
      <c r="G150" s="12" t="s">
        <v>412</v>
      </c>
      <c r="H150" s="12" t="s">
        <v>1366</v>
      </c>
      <c r="I150" s="12"/>
      <c r="J150" s="12" t="s">
        <v>160</v>
      </c>
      <c r="K150" s="12"/>
      <c r="L150" s="12"/>
      <c r="M150" s="50" t="s">
        <v>760</v>
      </c>
      <c r="N150" s="45"/>
      <c r="O150" s="51" t="s">
        <v>406</v>
      </c>
      <c r="P150" s="45"/>
      <c r="Q150" s="769"/>
      <c r="R150" s="821"/>
      <c r="S150" s="807"/>
      <c r="T150" s="811"/>
    </row>
    <row r="151" spans="2:20" ht="15.5" customHeight="1" x14ac:dyDescent="0.2">
      <c r="B151" s="40" t="s">
        <v>538</v>
      </c>
      <c r="C151" s="245"/>
      <c r="D151" s="53"/>
      <c r="E151" s="53"/>
      <c r="F151" s="61" t="s">
        <v>337</v>
      </c>
      <c r="G151" s="53"/>
      <c r="H151" s="289"/>
      <c r="I151" s="53"/>
      <c r="J151" s="289"/>
      <c r="K151" s="289"/>
      <c r="L151" s="289"/>
      <c r="M151" s="289"/>
      <c r="N151" s="290"/>
      <c r="O151" s="289"/>
      <c r="P151" s="45"/>
      <c r="Q151" s="769"/>
      <c r="R151" s="821"/>
      <c r="S151" s="807"/>
      <c r="T151" s="811"/>
    </row>
    <row r="152" spans="2:20" ht="30.5" customHeight="1" thickBot="1" x14ac:dyDescent="0.25">
      <c r="B152" s="40" t="s">
        <v>743</v>
      </c>
      <c r="C152" s="387"/>
      <c r="D152" s="388" t="s">
        <v>1339</v>
      </c>
      <c r="E152" s="388"/>
      <c r="F152" s="243" t="s">
        <v>58</v>
      </c>
      <c r="G152" s="134" t="s">
        <v>410</v>
      </c>
      <c r="H152" s="134" t="s">
        <v>1367</v>
      </c>
      <c r="I152" s="134"/>
      <c r="J152" s="262" t="s">
        <v>785</v>
      </c>
      <c r="K152" s="134"/>
      <c r="L152" s="134"/>
      <c r="M152" s="263" t="s">
        <v>760</v>
      </c>
      <c r="N152" s="209"/>
      <c r="O152" s="189" t="s">
        <v>418</v>
      </c>
      <c r="P152" s="209"/>
      <c r="Q152" s="788"/>
      <c r="R152" s="822"/>
      <c r="S152" s="808"/>
      <c r="T152" s="812"/>
    </row>
    <row r="153" spans="2:20" ht="17" thickBot="1" x14ac:dyDescent="0.25">
      <c r="C153" s="382"/>
      <c r="D153" s="190"/>
      <c r="E153" s="190"/>
      <c r="F153" s="190"/>
      <c r="G153" s="190"/>
      <c r="H153" s="190"/>
      <c r="I153" s="190"/>
      <c r="J153" s="190"/>
      <c r="K153" s="190"/>
      <c r="L153" s="190"/>
      <c r="M153" s="190"/>
      <c r="N153" s="316"/>
      <c r="O153" s="191"/>
      <c r="P153" s="381"/>
      <c r="Q153" s="190"/>
      <c r="R153" s="190"/>
      <c r="S153" s="190"/>
      <c r="T153" s="190"/>
    </row>
    <row r="154" spans="2:20" ht="15.5" customHeight="1" x14ac:dyDescent="0.2">
      <c r="B154" s="40" t="s">
        <v>755</v>
      </c>
      <c r="C154" s="229"/>
      <c r="D154" s="204" t="s">
        <v>362</v>
      </c>
      <c r="E154" s="204"/>
      <c r="F154" s="231" t="s">
        <v>362</v>
      </c>
      <c r="G154" s="204" t="s">
        <v>412</v>
      </c>
      <c r="H154" s="204" t="s">
        <v>1368</v>
      </c>
      <c r="I154" s="204"/>
      <c r="J154" s="204" t="s">
        <v>160</v>
      </c>
      <c r="K154" s="204"/>
      <c r="L154" s="204"/>
      <c r="M154" s="233" t="s">
        <v>424</v>
      </c>
      <c r="N154" s="280"/>
      <c r="O154" s="100" t="s">
        <v>405</v>
      </c>
      <c r="P154" s="230"/>
      <c r="Q154" s="787" t="s">
        <v>423</v>
      </c>
      <c r="R154" s="820" t="s">
        <v>114</v>
      </c>
      <c r="S154" s="806" t="s">
        <v>610</v>
      </c>
      <c r="T154" s="810"/>
    </row>
    <row r="155" spans="2:20" ht="15.5" customHeight="1" x14ac:dyDescent="0.2">
      <c r="B155" s="40" t="s">
        <v>743</v>
      </c>
      <c r="C155" s="234"/>
      <c r="D155" s="12" t="s">
        <v>363</v>
      </c>
      <c r="E155" s="12"/>
      <c r="F155" s="60" t="s">
        <v>363</v>
      </c>
      <c r="G155" s="12" t="s">
        <v>403</v>
      </c>
      <c r="H155" s="12" t="s">
        <v>1369</v>
      </c>
      <c r="I155" s="12"/>
      <c r="J155" s="12" t="s">
        <v>160</v>
      </c>
      <c r="K155" s="12"/>
      <c r="L155" s="12"/>
      <c r="M155" s="50" t="s">
        <v>424</v>
      </c>
      <c r="N155" s="45"/>
      <c r="O155" s="51" t="s">
        <v>406</v>
      </c>
      <c r="P155" s="45"/>
      <c r="Q155" s="769"/>
      <c r="R155" s="821"/>
      <c r="S155" s="807"/>
      <c r="T155" s="811"/>
    </row>
    <row r="156" spans="2:20" ht="15.5" customHeight="1" x14ac:dyDescent="0.2">
      <c r="B156" s="40" t="s">
        <v>743</v>
      </c>
      <c r="C156" s="234"/>
      <c r="D156" s="12" t="s">
        <v>364</v>
      </c>
      <c r="E156" s="12"/>
      <c r="F156" s="60" t="s">
        <v>364</v>
      </c>
      <c r="G156" s="12" t="s">
        <v>403</v>
      </c>
      <c r="H156" s="12" t="s">
        <v>1370</v>
      </c>
      <c r="I156" s="12"/>
      <c r="J156" s="12" t="s">
        <v>160</v>
      </c>
      <c r="K156" s="12"/>
      <c r="L156" s="12"/>
      <c r="M156" s="50" t="s">
        <v>424</v>
      </c>
      <c r="N156" s="45"/>
      <c r="O156" s="51" t="s">
        <v>407</v>
      </c>
      <c r="P156" s="45"/>
      <c r="Q156" s="769"/>
      <c r="R156" s="821"/>
      <c r="S156" s="807"/>
      <c r="T156" s="811"/>
    </row>
    <row r="157" spans="2:20" ht="79.5" customHeight="1" thickBot="1" x14ac:dyDescent="0.25">
      <c r="B157" s="40" t="s">
        <v>743</v>
      </c>
      <c r="C157" s="236"/>
      <c r="D157" s="134" t="s">
        <v>64</v>
      </c>
      <c r="E157" s="134"/>
      <c r="F157" s="243" t="s">
        <v>64</v>
      </c>
      <c r="G157" s="134" t="s">
        <v>393</v>
      </c>
      <c r="H157" s="134" t="s">
        <v>1371</v>
      </c>
      <c r="I157" s="134"/>
      <c r="J157" s="262" t="s">
        <v>788</v>
      </c>
      <c r="K157" s="134"/>
      <c r="L157" s="134"/>
      <c r="M157" s="263" t="s">
        <v>760</v>
      </c>
      <c r="N157" s="209"/>
      <c r="O157" s="189" t="s">
        <v>418</v>
      </c>
      <c r="P157" s="209"/>
      <c r="Q157" s="788"/>
      <c r="R157" s="822"/>
      <c r="S157" s="808"/>
      <c r="T157" s="812"/>
    </row>
    <row r="158" spans="2:20" ht="17" thickBot="1" x14ac:dyDescent="0.25">
      <c r="C158" s="382"/>
      <c r="D158" s="190"/>
      <c r="E158" s="190"/>
      <c r="F158" s="190"/>
      <c r="G158" s="190"/>
      <c r="H158"/>
      <c r="I158" s="190"/>
      <c r="J158" s="190"/>
      <c r="K158" s="190"/>
      <c r="L158" s="190"/>
      <c r="M158" s="190"/>
      <c r="N158" s="316"/>
      <c r="O158" s="191"/>
      <c r="P158" s="381"/>
      <c r="Q158" s="190"/>
      <c r="R158" s="190"/>
      <c r="S158" s="190"/>
      <c r="T158" s="190"/>
    </row>
    <row r="159" spans="2:20" ht="15.5" customHeight="1" x14ac:dyDescent="0.2">
      <c r="B159" s="40" t="s">
        <v>743</v>
      </c>
      <c r="C159" s="229"/>
      <c r="D159" s="204" t="s">
        <v>365</v>
      </c>
      <c r="E159" s="204"/>
      <c r="F159" s="231" t="s">
        <v>365</v>
      </c>
      <c r="G159" s="204" t="s">
        <v>403</v>
      </c>
      <c r="H159" s="204" t="s">
        <v>1372</v>
      </c>
      <c r="I159" s="204"/>
      <c r="J159" s="204" t="s">
        <v>160</v>
      </c>
      <c r="K159" s="204"/>
      <c r="L159" s="204"/>
      <c r="M159" s="204" t="s">
        <v>761</v>
      </c>
      <c r="N159" s="230"/>
      <c r="O159" s="100" t="s">
        <v>405</v>
      </c>
      <c r="P159" s="230"/>
      <c r="Q159" s="787" t="s">
        <v>425</v>
      </c>
      <c r="R159" s="820" t="s">
        <v>114</v>
      </c>
      <c r="S159" s="806" t="s">
        <v>610</v>
      </c>
      <c r="T159" s="810"/>
    </row>
    <row r="160" spans="2:20" ht="15.5" customHeight="1" x14ac:dyDescent="0.2">
      <c r="B160" s="40" t="s">
        <v>743</v>
      </c>
      <c r="C160" s="234"/>
      <c r="D160" s="12" t="s">
        <v>366</v>
      </c>
      <c r="E160" s="12"/>
      <c r="F160" s="60" t="s">
        <v>366</v>
      </c>
      <c r="G160" s="12" t="s">
        <v>417</v>
      </c>
      <c r="H160" s="12" t="s">
        <v>994</v>
      </c>
      <c r="I160" s="12"/>
      <c r="J160" s="12" t="s">
        <v>160</v>
      </c>
      <c r="K160" s="12"/>
      <c r="L160" s="12"/>
      <c r="M160" s="12" t="s">
        <v>761</v>
      </c>
      <c r="N160" s="45"/>
      <c r="O160" s="51" t="s">
        <v>406</v>
      </c>
      <c r="P160" s="45"/>
      <c r="Q160" s="769"/>
      <c r="R160" s="821"/>
      <c r="S160" s="807"/>
      <c r="T160" s="811"/>
    </row>
    <row r="161" spans="2:20" ht="15.5" customHeight="1" x14ac:dyDescent="0.2">
      <c r="B161" s="40" t="s">
        <v>743</v>
      </c>
      <c r="C161" s="234"/>
      <c r="D161" s="12" t="s">
        <v>367</v>
      </c>
      <c r="E161" s="12"/>
      <c r="F161" s="60" t="s">
        <v>367</v>
      </c>
      <c r="G161" s="12" t="s">
        <v>412</v>
      </c>
      <c r="H161" s="12" t="s">
        <v>1373</v>
      </c>
      <c r="I161" s="12"/>
      <c r="J161" s="12" t="s">
        <v>160</v>
      </c>
      <c r="K161" s="12"/>
      <c r="L161" s="12"/>
      <c r="M161" s="50" t="s">
        <v>760</v>
      </c>
      <c r="N161" s="45"/>
      <c r="O161" s="51" t="s">
        <v>407</v>
      </c>
      <c r="P161" s="45"/>
      <c r="Q161" s="769"/>
      <c r="R161" s="821"/>
      <c r="S161" s="807"/>
      <c r="T161" s="811"/>
    </row>
    <row r="162" spans="2:20" ht="15.5" customHeight="1" thickBot="1" x14ac:dyDescent="0.25">
      <c r="B162" s="40" t="s">
        <v>767</v>
      </c>
      <c r="C162" s="236"/>
      <c r="D162" s="134" t="s">
        <v>1655</v>
      </c>
      <c r="E162" s="134"/>
      <c r="F162" s="247" t="s">
        <v>337</v>
      </c>
      <c r="G162" s="238"/>
      <c r="H162" s="134" t="s">
        <v>1653</v>
      </c>
      <c r="I162" s="238"/>
      <c r="J162" s="134" t="s">
        <v>160</v>
      </c>
      <c r="K162" s="238"/>
      <c r="L162" s="238"/>
      <c r="M162" s="238"/>
      <c r="N162" s="209"/>
      <c r="O162" s="189" t="s">
        <v>1654</v>
      </c>
      <c r="P162" s="209"/>
      <c r="Q162" s="788"/>
      <c r="R162" s="822"/>
      <c r="S162" s="808"/>
      <c r="T162" s="812"/>
    </row>
    <row r="163" spans="2:20" ht="17" thickBot="1" x14ac:dyDescent="0.25">
      <c r="C163" s="382"/>
      <c r="D163" s="190"/>
      <c r="E163" s="190"/>
      <c r="F163" s="190"/>
      <c r="G163" s="190"/>
      <c r="H163"/>
      <c r="I163" s="190"/>
      <c r="J163" s="190"/>
      <c r="K163" s="190"/>
      <c r="L163" s="190"/>
      <c r="M163" s="190"/>
      <c r="N163" s="316"/>
      <c r="O163" s="191"/>
      <c r="P163" s="381"/>
      <c r="Q163" s="190"/>
      <c r="R163" s="190"/>
      <c r="S163" s="190"/>
      <c r="T163" s="190"/>
    </row>
    <row r="164" spans="2:20" ht="15.5" customHeight="1" x14ac:dyDescent="0.2">
      <c r="B164" s="40" t="s">
        <v>743</v>
      </c>
      <c r="C164" s="229"/>
      <c r="D164" s="204" t="s">
        <v>368</v>
      </c>
      <c r="E164" s="204"/>
      <c r="F164" s="231" t="s">
        <v>368</v>
      </c>
      <c r="G164" s="204" t="s">
        <v>412</v>
      </c>
      <c r="H164" s="204" t="s">
        <v>1366</v>
      </c>
      <c r="I164" s="204"/>
      <c r="J164" s="204" t="s">
        <v>160</v>
      </c>
      <c r="K164" s="204"/>
      <c r="L164" s="204"/>
      <c r="M164" s="233" t="s">
        <v>760</v>
      </c>
      <c r="N164" s="230"/>
      <c r="O164" s="100" t="s">
        <v>405</v>
      </c>
      <c r="P164" s="230"/>
      <c r="Q164" s="787" t="s">
        <v>426</v>
      </c>
      <c r="R164" s="820" t="s">
        <v>114</v>
      </c>
      <c r="S164" s="806" t="s">
        <v>610</v>
      </c>
      <c r="T164" s="810"/>
    </row>
    <row r="165" spans="2:20" ht="15.5" customHeight="1" x14ac:dyDescent="0.2">
      <c r="B165" s="40" t="s">
        <v>743</v>
      </c>
      <c r="C165" s="234"/>
      <c r="D165" s="12" t="s">
        <v>369</v>
      </c>
      <c r="E165" s="12"/>
      <c r="F165" s="60" t="s">
        <v>369</v>
      </c>
      <c r="G165" s="12" t="s">
        <v>417</v>
      </c>
      <c r="H165" s="12" t="s">
        <v>1374</v>
      </c>
      <c r="I165" s="12"/>
      <c r="J165" s="12" t="s">
        <v>160</v>
      </c>
      <c r="K165" s="12"/>
      <c r="L165" s="12"/>
      <c r="M165" s="12" t="s">
        <v>761</v>
      </c>
      <c r="N165" s="45"/>
      <c r="O165" s="51" t="s">
        <v>406</v>
      </c>
      <c r="P165" s="45"/>
      <c r="Q165" s="769"/>
      <c r="R165" s="821"/>
      <c r="S165" s="807"/>
      <c r="T165" s="811"/>
    </row>
    <row r="166" spans="2:20" ht="15.5" customHeight="1" x14ac:dyDescent="0.2">
      <c r="B166" s="40" t="s">
        <v>755</v>
      </c>
      <c r="C166" s="234"/>
      <c r="D166" s="12" t="s">
        <v>370</v>
      </c>
      <c r="E166" s="12"/>
      <c r="F166" s="60" t="s">
        <v>370</v>
      </c>
      <c r="G166" s="12" t="s">
        <v>403</v>
      </c>
      <c r="H166" s="12" t="s">
        <v>1375</v>
      </c>
      <c r="I166" s="12"/>
      <c r="J166" s="12" t="s">
        <v>160</v>
      </c>
      <c r="K166" s="12"/>
      <c r="L166" s="12"/>
      <c r="M166" s="12" t="s">
        <v>761</v>
      </c>
      <c r="N166" s="45"/>
      <c r="O166" s="51" t="s">
        <v>407</v>
      </c>
      <c r="P166" s="45"/>
      <c r="Q166" s="769"/>
      <c r="R166" s="821"/>
      <c r="S166" s="807"/>
      <c r="T166" s="811"/>
    </row>
    <row r="167" spans="2:20" ht="15.5" customHeight="1" thickBot="1" x14ac:dyDescent="0.25">
      <c r="B167" s="40" t="s">
        <v>743</v>
      </c>
      <c r="C167" s="236"/>
      <c r="D167" s="134" t="s">
        <v>371</v>
      </c>
      <c r="E167" s="134"/>
      <c r="F167" s="247" t="s">
        <v>371</v>
      </c>
      <c r="G167" s="238" t="s">
        <v>942</v>
      </c>
      <c r="H167" s="134" t="s">
        <v>1376</v>
      </c>
      <c r="I167" s="238"/>
      <c r="J167" s="238" t="s">
        <v>160</v>
      </c>
      <c r="K167" s="134"/>
      <c r="L167" s="134"/>
      <c r="M167" s="263" t="s">
        <v>760</v>
      </c>
      <c r="N167" s="209"/>
      <c r="O167" s="189" t="s">
        <v>408</v>
      </c>
      <c r="P167" s="209"/>
      <c r="Q167" s="788"/>
      <c r="R167" s="822"/>
      <c r="S167" s="808"/>
      <c r="T167" s="812"/>
    </row>
    <row r="168" spans="2:20" ht="17" thickBot="1" x14ac:dyDescent="0.25">
      <c r="C168" s="382"/>
      <c r="F168" s="190"/>
      <c r="G168" s="190"/>
      <c r="H168"/>
      <c r="I168" s="190"/>
      <c r="J168" s="190"/>
      <c r="K168" s="190"/>
      <c r="L168" s="190"/>
      <c r="M168" s="190"/>
      <c r="N168" s="316"/>
      <c r="O168" s="191"/>
      <c r="P168" s="381"/>
      <c r="Q168" s="190"/>
      <c r="R168" s="190"/>
      <c r="S168" s="190"/>
      <c r="T168" s="190"/>
    </row>
    <row r="169" spans="2:20" ht="15.5" customHeight="1" x14ac:dyDescent="0.2">
      <c r="C169" s="229"/>
      <c r="D169" s="204" t="s">
        <v>1340</v>
      </c>
      <c r="E169" s="204"/>
      <c r="F169" s="231" t="s">
        <v>372</v>
      </c>
      <c r="G169" s="204" t="s">
        <v>417</v>
      </c>
      <c r="H169" s="204" t="s">
        <v>1377</v>
      </c>
      <c r="I169" s="204"/>
      <c r="J169" s="204" t="s">
        <v>160</v>
      </c>
      <c r="K169" s="204"/>
      <c r="L169" s="204"/>
      <c r="M169" s="233" t="s">
        <v>424</v>
      </c>
      <c r="N169" s="230"/>
      <c r="O169" s="100" t="s">
        <v>405</v>
      </c>
      <c r="P169" s="230"/>
      <c r="Q169" s="787" t="s">
        <v>427</v>
      </c>
      <c r="R169" s="820" t="s">
        <v>114</v>
      </c>
      <c r="S169" s="806" t="s">
        <v>610</v>
      </c>
      <c r="T169" s="810"/>
    </row>
    <row r="170" spans="2:20" ht="15.5" customHeight="1" x14ac:dyDescent="0.2">
      <c r="C170" s="234"/>
      <c r="D170" s="12"/>
      <c r="E170" s="12"/>
      <c r="F170" s="61" t="s">
        <v>337</v>
      </c>
      <c r="G170" s="53"/>
      <c r="H170" s="289"/>
      <c r="I170" s="53"/>
      <c r="J170" s="289"/>
      <c r="K170" s="289"/>
      <c r="L170" s="289"/>
      <c r="M170" s="289"/>
      <c r="N170" s="290"/>
      <c r="O170" s="289"/>
      <c r="P170" s="45"/>
      <c r="Q170" s="769"/>
      <c r="R170" s="821"/>
      <c r="S170" s="807"/>
      <c r="T170" s="811"/>
    </row>
    <row r="171" spans="2:20" ht="15.5" customHeight="1" x14ac:dyDescent="0.2">
      <c r="C171" s="234"/>
      <c r="D171" s="12"/>
      <c r="E171" s="12"/>
      <c r="F171" s="61" t="s">
        <v>337</v>
      </c>
      <c r="G171" s="53"/>
      <c r="H171" s="289"/>
      <c r="I171" s="53"/>
      <c r="J171" s="289"/>
      <c r="K171" s="289"/>
      <c r="L171" s="289"/>
      <c r="M171" s="289"/>
      <c r="N171" s="290"/>
      <c r="O171" s="289"/>
      <c r="P171" s="45"/>
      <c r="Q171" s="769"/>
      <c r="R171" s="821"/>
      <c r="S171" s="807"/>
      <c r="T171" s="811"/>
    </row>
    <row r="172" spans="2:20" ht="15.5" customHeight="1" thickBot="1" x14ac:dyDescent="0.25">
      <c r="C172" s="236"/>
      <c r="D172" s="238"/>
      <c r="E172" s="238"/>
      <c r="F172" s="247" t="s">
        <v>337</v>
      </c>
      <c r="G172" s="238"/>
      <c r="H172" s="289"/>
      <c r="I172" s="238"/>
      <c r="J172" s="336"/>
      <c r="K172" s="336"/>
      <c r="L172" s="336"/>
      <c r="M172" s="336"/>
      <c r="N172" s="337"/>
      <c r="O172" s="336"/>
      <c r="P172" s="209"/>
      <c r="Q172" s="788"/>
      <c r="R172" s="822"/>
      <c r="S172" s="808"/>
      <c r="T172" s="812"/>
    </row>
    <row r="173" spans="2:20" ht="17" thickBot="1" x14ac:dyDescent="0.25">
      <c r="C173" s="382"/>
      <c r="D173" s="190"/>
      <c r="E173" s="190"/>
      <c r="F173" s="190"/>
      <c r="G173" s="190"/>
      <c r="H173" s="190"/>
      <c r="I173" s="190"/>
      <c r="J173" s="190"/>
      <c r="K173" s="190"/>
      <c r="L173" s="190"/>
      <c r="M173" s="190"/>
      <c r="N173" s="316"/>
      <c r="O173" s="191"/>
      <c r="P173" s="381"/>
      <c r="Q173" s="190"/>
      <c r="R173" s="190"/>
      <c r="S173" s="190"/>
      <c r="T173" s="190"/>
    </row>
    <row r="174" spans="2:20" ht="15.5" customHeight="1" x14ac:dyDescent="0.2">
      <c r="B174" s="40" t="s">
        <v>743</v>
      </c>
      <c r="C174" s="331"/>
      <c r="D174" s="204" t="s">
        <v>373</v>
      </c>
      <c r="E174" s="204"/>
      <c r="F174" s="204" t="s">
        <v>373</v>
      </c>
      <c r="G174" s="204"/>
      <c r="H174" s="204" t="s">
        <v>1378</v>
      </c>
      <c r="I174" s="204"/>
      <c r="J174" s="204" t="s">
        <v>160</v>
      </c>
      <c r="K174" s="204"/>
      <c r="L174" s="204"/>
      <c r="M174" s="233" t="s">
        <v>760</v>
      </c>
      <c r="N174" s="230"/>
      <c r="O174" s="100" t="s">
        <v>405</v>
      </c>
      <c r="P174" s="230"/>
      <c r="Q174" s="787" t="s">
        <v>428</v>
      </c>
      <c r="R174" s="820" t="s">
        <v>114</v>
      </c>
      <c r="S174" s="806" t="s">
        <v>610</v>
      </c>
      <c r="T174" s="810"/>
    </row>
    <row r="175" spans="2:20" ht="15.5" customHeight="1" x14ac:dyDescent="0.2">
      <c r="C175" s="333"/>
      <c r="D175" s="12" t="s">
        <v>374</v>
      </c>
      <c r="E175" s="12"/>
      <c r="F175" s="12" t="s">
        <v>374</v>
      </c>
      <c r="G175" s="12"/>
      <c r="H175" s="12" t="s">
        <v>1379</v>
      </c>
      <c r="I175" s="12"/>
      <c r="J175" s="12" t="s">
        <v>160</v>
      </c>
      <c r="K175" s="12"/>
      <c r="L175" s="12"/>
      <c r="M175" s="50" t="s">
        <v>760</v>
      </c>
      <c r="N175" s="45"/>
      <c r="O175" s="51" t="s">
        <v>406</v>
      </c>
      <c r="P175" s="45"/>
      <c r="Q175" s="769"/>
      <c r="R175" s="821"/>
      <c r="S175" s="807"/>
      <c r="T175" s="811"/>
    </row>
    <row r="176" spans="2:20" ht="15.5" customHeight="1" x14ac:dyDescent="0.2">
      <c r="C176" s="333"/>
      <c r="D176" s="12" t="s">
        <v>375</v>
      </c>
      <c r="E176" s="12"/>
      <c r="F176" s="12" t="s">
        <v>375</v>
      </c>
      <c r="G176" s="12"/>
      <c r="H176" s="12" t="s">
        <v>1380</v>
      </c>
      <c r="I176" s="12"/>
      <c r="J176" s="12" t="s">
        <v>160</v>
      </c>
      <c r="K176" s="12"/>
      <c r="L176" s="12"/>
      <c r="M176" s="50" t="s">
        <v>760</v>
      </c>
      <c r="N176" s="45"/>
      <c r="O176" s="51" t="s">
        <v>407</v>
      </c>
      <c r="P176" s="45"/>
      <c r="Q176" s="769"/>
      <c r="R176" s="821"/>
      <c r="S176" s="807"/>
      <c r="T176" s="811"/>
    </row>
    <row r="177" spans="2:20" ht="15.5" customHeight="1" thickBot="1" x14ac:dyDescent="0.25">
      <c r="C177" s="334"/>
      <c r="D177" s="134" t="s">
        <v>376</v>
      </c>
      <c r="E177" s="134"/>
      <c r="F177" s="134" t="s">
        <v>376</v>
      </c>
      <c r="G177" s="134"/>
      <c r="H177" s="134" t="s">
        <v>1381</v>
      </c>
      <c r="I177" s="134"/>
      <c r="J177" s="134" t="s">
        <v>160</v>
      </c>
      <c r="K177" s="134"/>
      <c r="L177" s="134"/>
      <c r="M177" s="263" t="s">
        <v>760</v>
      </c>
      <c r="N177" s="209"/>
      <c r="O177" s="189" t="s">
        <v>408</v>
      </c>
      <c r="P177" s="209"/>
      <c r="Q177" s="788"/>
      <c r="R177" s="822"/>
      <c r="S177" s="808"/>
      <c r="T177" s="812"/>
    </row>
    <row r="178" spans="2:20" ht="17" thickBot="1" x14ac:dyDescent="0.25">
      <c r="C178" s="382"/>
      <c r="D178" s="190"/>
      <c r="E178" s="190"/>
      <c r="F178" s="190"/>
      <c r="G178" s="190"/>
      <c r="H178"/>
      <c r="I178" s="190"/>
      <c r="J178" s="190"/>
      <c r="K178" s="190"/>
      <c r="L178" s="190"/>
      <c r="M178" s="190"/>
      <c r="N178" s="316"/>
      <c r="O178" s="191"/>
      <c r="P178" s="381"/>
      <c r="Q178" s="190"/>
      <c r="R178" s="190"/>
      <c r="S178" s="190"/>
      <c r="T178" s="190"/>
    </row>
    <row r="179" spans="2:20" ht="15.5" customHeight="1" x14ac:dyDescent="0.2">
      <c r="B179" s="40" t="s">
        <v>789</v>
      </c>
      <c r="C179" s="331"/>
      <c r="D179" s="204" t="s">
        <v>377</v>
      </c>
      <c r="E179" s="204"/>
      <c r="F179" s="204" t="s">
        <v>377</v>
      </c>
      <c r="G179" s="204"/>
      <c r="H179" s="204" t="s">
        <v>1382</v>
      </c>
      <c r="I179" s="204"/>
      <c r="J179" s="204" t="s">
        <v>160</v>
      </c>
      <c r="K179" s="204"/>
      <c r="L179" s="204"/>
      <c r="M179" s="233" t="s">
        <v>760</v>
      </c>
      <c r="N179" s="230"/>
      <c r="O179" s="100" t="s">
        <v>405</v>
      </c>
      <c r="P179" s="230"/>
      <c r="Q179" s="787" t="s">
        <v>429</v>
      </c>
      <c r="R179" s="820" t="s">
        <v>114</v>
      </c>
      <c r="S179" s="806" t="s">
        <v>610</v>
      </c>
      <c r="T179" s="810"/>
    </row>
    <row r="180" spans="2:20" ht="15.5" customHeight="1" x14ac:dyDescent="0.2">
      <c r="C180" s="333"/>
      <c r="D180" s="12" t="s">
        <v>378</v>
      </c>
      <c r="E180" s="12"/>
      <c r="F180" s="12" t="s">
        <v>378</v>
      </c>
      <c r="G180" s="12"/>
      <c r="H180" s="12" t="s">
        <v>1383</v>
      </c>
      <c r="I180" s="12"/>
      <c r="J180" s="12" t="s">
        <v>160</v>
      </c>
      <c r="K180" s="12"/>
      <c r="L180" s="12"/>
      <c r="M180" s="50" t="s">
        <v>760</v>
      </c>
      <c r="N180" s="45"/>
      <c r="O180" s="51" t="s">
        <v>406</v>
      </c>
      <c r="P180" s="45"/>
      <c r="Q180" s="769"/>
      <c r="R180" s="821"/>
      <c r="S180" s="807"/>
      <c r="T180" s="811"/>
    </row>
    <row r="181" spans="2:20" ht="15.5" customHeight="1" x14ac:dyDescent="0.2">
      <c r="C181" s="333"/>
      <c r="D181" s="12" t="s">
        <v>379</v>
      </c>
      <c r="E181" s="12"/>
      <c r="F181" s="12" t="s">
        <v>379</v>
      </c>
      <c r="G181" s="12"/>
      <c r="H181" s="12" t="s">
        <v>1384</v>
      </c>
      <c r="I181" s="12"/>
      <c r="J181" s="12" t="s">
        <v>160</v>
      </c>
      <c r="K181" s="12"/>
      <c r="L181" s="12"/>
      <c r="M181" s="50" t="s">
        <v>760</v>
      </c>
      <c r="N181" s="45"/>
      <c r="O181" s="51" t="s">
        <v>407</v>
      </c>
      <c r="P181" s="45"/>
      <c r="Q181" s="769"/>
      <c r="R181" s="821"/>
      <c r="S181" s="807"/>
      <c r="T181" s="811"/>
    </row>
    <row r="182" spans="2:20" ht="15.5" customHeight="1" thickBot="1" x14ac:dyDescent="0.25">
      <c r="C182" s="334"/>
      <c r="D182" s="134" t="s">
        <v>380</v>
      </c>
      <c r="E182" s="134"/>
      <c r="F182" s="134" t="s">
        <v>380</v>
      </c>
      <c r="G182" s="134"/>
      <c r="H182" s="134" t="s">
        <v>1385</v>
      </c>
      <c r="I182" s="134"/>
      <c r="J182" s="134" t="s">
        <v>160</v>
      </c>
      <c r="K182" s="134"/>
      <c r="L182" s="134"/>
      <c r="M182" s="263" t="s">
        <v>760</v>
      </c>
      <c r="N182" s="209"/>
      <c r="O182" s="189" t="s">
        <v>408</v>
      </c>
      <c r="P182" s="209"/>
      <c r="Q182" s="788"/>
      <c r="R182" s="822"/>
      <c r="S182" s="808"/>
      <c r="T182" s="812"/>
    </row>
    <row r="183" spans="2:20" ht="17" thickBot="1" x14ac:dyDescent="0.25">
      <c r="C183" s="382"/>
      <c r="D183" s="47"/>
      <c r="E183" s="47"/>
      <c r="F183" s="190"/>
      <c r="G183" s="190"/>
      <c r="H183"/>
      <c r="I183" s="190"/>
      <c r="J183" s="190"/>
      <c r="K183" s="190"/>
      <c r="L183" s="190"/>
      <c r="M183" s="190"/>
      <c r="N183" s="316"/>
      <c r="O183" s="191"/>
      <c r="P183" s="381"/>
      <c r="Q183" s="190"/>
      <c r="R183" s="190"/>
      <c r="S183" s="190"/>
      <c r="T183" s="190"/>
    </row>
    <row r="184" spans="2:20" ht="15" customHeight="1" x14ac:dyDescent="0.2">
      <c r="B184" s="40" t="s">
        <v>743</v>
      </c>
      <c r="C184" s="331"/>
      <c r="D184" s="204" t="s">
        <v>381</v>
      </c>
      <c r="E184" s="204"/>
      <c r="F184" s="204" t="s">
        <v>381</v>
      </c>
      <c r="G184" s="204"/>
      <c r="H184" s="204" t="s">
        <v>1386</v>
      </c>
      <c r="I184" s="204"/>
      <c r="J184" s="204" t="s">
        <v>160</v>
      </c>
      <c r="K184" s="204"/>
      <c r="L184" s="204"/>
      <c r="M184" s="233" t="s">
        <v>760</v>
      </c>
      <c r="N184" s="230"/>
      <c r="O184" s="100" t="s">
        <v>405</v>
      </c>
      <c r="P184" s="230"/>
      <c r="Q184" s="787" t="s">
        <v>430</v>
      </c>
      <c r="R184" s="820" t="s">
        <v>114</v>
      </c>
      <c r="S184" s="806" t="s">
        <v>610</v>
      </c>
      <c r="T184" s="810"/>
    </row>
    <row r="185" spans="2:20" ht="15.5" customHeight="1" x14ac:dyDescent="0.2">
      <c r="C185" s="333"/>
      <c r="D185" s="12" t="s">
        <v>382</v>
      </c>
      <c r="E185" s="12"/>
      <c r="F185" s="12" t="s">
        <v>382</v>
      </c>
      <c r="G185" s="12"/>
      <c r="H185" s="12" t="s">
        <v>1387</v>
      </c>
      <c r="I185" s="12"/>
      <c r="J185" s="12" t="s">
        <v>160</v>
      </c>
      <c r="K185" s="12"/>
      <c r="L185" s="12"/>
      <c r="M185" s="50" t="s">
        <v>760</v>
      </c>
      <c r="N185" s="45"/>
      <c r="O185" s="51" t="s">
        <v>406</v>
      </c>
      <c r="P185" s="45"/>
      <c r="Q185" s="769"/>
      <c r="R185" s="821"/>
      <c r="S185" s="807"/>
      <c r="T185" s="811"/>
    </row>
    <row r="186" spans="2:20" ht="15.5" customHeight="1" x14ac:dyDescent="0.2">
      <c r="C186" s="333"/>
      <c r="D186" s="12" t="s">
        <v>383</v>
      </c>
      <c r="E186" s="12"/>
      <c r="F186" s="12" t="s">
        <v>383</v>
      </c>
      <c r="G186" s="12"/>
      <c r="H186" s="12" t="s">
        <v>1388</v>
      </c>
      <c r="I186" s="12"/>
      <c r="J186" s="12" t="s">
        <v>160</v>
      </c>
      <c r="K186" s="12"/>
      <c r="L186" s="12"/>
      <c r="M186" s="50" t="s">
        <v>760</v>
      </c>
      <c r="N186" s="45"/>
      <c r="O186" s="51" t="s">
        <v>407</v>
      </c>
      <c r="P186" s="45"/>
      <c r="Q186" s="769"/>
      <c r="R186" s="821"/>
      <c r="S186" s="807"/>
      <c r="T186" s="811"/>
    </row>
    <row r="187" spans="2:20" ht="15.5" customHeight="1" thickBot="1" x14ac:dyDescent="0.25">
      <c r="C187" s="334"/>
      <c r="D187" s="134" t="s">
        <v>384</v>
      </c>
      <c r="E187" s="134"/>
      <c r="F187" s="134" t="s">
        <v>384</v>
      </c>
      <c r="G187" s="134"/>
      <c r="H187" s="134" t="s">
        <v>1389</v>
      </c>
      <c r="I187" s="134"/>
      <c r="J187" s="134" t="s">
        <v>160</v>
      </c>
      <c r="K187" s="134"/>
      <c r="L187" s="134"/>
      <c r="M187" s="263" t="s">
        <v>760</v>
      </c>
      <c r="N187" s="209"/>
      <c r="O187" s="189" t="s">
        <v>408</v>
      </c>
      <c r="P187" s="209"/>
      <c r="Q187" s="788"/>
      <c r="R187" s="822"/>
      <c r="S187" s="808"/>
      <c r="T187" s="812"/>
    </row>
    <row r="188" spans="2:20" ht="17" thickBot="1" x14ac:dyDescent="0.25">
      <c r="C188" s="382"/>
      <c r="D188" s="190"/>
      <c r="E188" s="190"/>
      <c r="F188" s="190"/>
      <c r="G188" s="190"/>
      <c r="H188" s="190"/>
      <c r="I188" s="190"/>
      <c r="J188" s="190"/>
      <c r="K188" s="190"/>
      <c r="L188" s="190"/>
      <c r="M188" s="190"/>
      <c r="N188" s="316"/>
      <c r="O188" s="191"/>
      <c r="P188" s="381"/>
      <c r="Q188" s="190"/>
      <c r="R188" s="190"/>
      <c r="S188" s="190"/>
      <c r="T188" s="190"/>
    </row>
    <row r="189" spans="2:20" ht="51" x14ac:dyDescent="0.2">
      <c r="B189" s="40" t="s">
        <v>743</v>
      </c>
      <c r="C189" s="331"/>
      <c r="D189" s="204" t="s">
        <v>385</v>
      </c>
      <c r="E189" s="204"/>
      <c r="F189" s="204" t="s">
        <v>385</v>
      </c>
      <c r="G189" s="204" t="s">
        <v>431</v>
      </c>
      <c r="H189" s="204" t="s">
        <v>1390</v>
      </c>
      <c r="I189" s="204"/>
      <c r="J189" s="233" t="s">
        <v>386</v>
      </c>
      <c r="K189" s="204" t="s">
        <v>715</v>
      </c>
      <c r="L189" s="204"/>
      <c r="M189" s="233"/>
      <c r="N189" s="230"/>
      <c r="O189" s="100" t="s">
        <v>916</v>
      </c>
      <c r="P189" s="230"/>
      <c r="Q189" s="787" t="s">
        <v>432</v>
      </c>
      <c r="R189" s="820" t="s">
        <v>114</v>
      </c>
      <c r="S189" s="806" t="s">
        <v>610</v>
      </c>
      <c r="T189" s="810"/>
    </row>
    <row r="190" spans="2:20" ht="51" x14ac:dyDescent="0.2">
      <c r="C190" s="333"/>
      <c r="D190" s="12" t="s">
        <v>387</v>
      </c>
      <c r="E190" s="12"/>
      <c r="F190" s="12" t="s">
        <v>387</v>
      </c>
      <c r="G190" s="12" t="s">
        <v>225</v>
      </c>
      <c r="H190" s="12" t="s">
        <v>1391</v>
      </c>
      <c r="I190" s="12"/>
      <c r="J190" s="50" t="s">
        <v>388</v>
      </c>
      <c r="K190" s="12" t="s">
        <v>715</v>
      </c>
      <c r="L190" s="12"/>
      <c r="M190" s="50" t="s">
        <v>413</v>
      </c>
      <c r="N190" s="45"/>
      <c r="O190" s="51" t="s">
        <v>917</v>
      </c>
      <c r="P190" s="45"/>
      <c r="Q190" s="769"/>
      <c r="R190" s="821"/>
      <c r="S190" s="807"/>
      <c r="T190" s="811"/>
    </row>
    <row r="191" spans="2:20" ht="51" x14ac:dyDescent="0.2">
      <c r="C191" s="333"/>
      <c r="D191" s="12" t="s">
        <v>389</v>
      </c>
      <c r="E191" s="12"/>
      <c r="F191" s="12" t="s">
        <v>389</v>
      </c>
      <c r="G191" s="12" t="s">
        <v>431</v>
      </c>
      <c r="H191" s="12" t="s">
        <v>1392</v>
      </c>
      <c r="I191" s="12"/>
      <c r="J191" s="50" t="s">
        <v>390</v>
      </c>
      <c r="K191" s="12" t="s">
        <v>715</v>
      </c>
      <c r="L191" s="12"/>
      <c r="M191" s="50"/>
      <c r="N191" s="45"/>
      <c r="O191" s="51" t="s">
        <v>918</v>
      </c>
      <c r="P191" s="45"/>
      <c r="Q191" s="769"/>
      <c r="R191" s="821"/>
      <c r="S191" s="807"/>
      <c r="T191" s="811"/>
    </row>
    <row r="192" spans="2:20" ht="15.5" customHeight="1" thickBot="1" x14ac:dyDescent="0.25">
      <c r="C192" s="334"/>
      <c r="D192" s="209"/>
      <c r="E192" s="209"/>
      <c r="F192" s="134" t="s">
        <v>337</v>
      </c>
      <c r="G192" s="134"/>
      <c r="H192" s="289"/>
      <c r="I192" s="170"/>
      <c r="J192" s="289"/>
      <c r="K192" s="289"/>
      <c r="L192" s="289"/>
      <c r="M192" s="289"/>
      <c r="N192" s="290"/>
      <c r="O192" s="289"/>
      <c r="P192" s="209"/>
      <c r="Q192" s="788"/>
      <c r="R192" s="822"/>
      <c r="S192" s="808"/>
      <c r="T192" s="812"/>
    </row>
    <row r="193" spans="2:20" ht="17" thickBot="1" x14ac:dyDescent="0.25">
      <c r="B193" s="40" t="s">
        <v>767</v>
      </c>
      <c r="C193" s="266"/>
      <c r="D193" s="267"/>
      <c r="E193" s="267"/>
      <c r="F193" s="268" t="s">
        <v>338</v>
      </c>
      <c r="G193" s="269"/>
      <c r="H193" s="267"/>
      <c r="I193" s="269"/>
      <c r="J193" s="270"/>
      <c r="K193" s="269"/>
      <c r="L193" s="269"/>
      <c r="M193" s="270"/>
      <c r="N193" s="267"/>
      <c r="O193" s="270"/>
      <c r="P193" s="267"/>
      <c r="Q193" s="270"/>
      <c r="R193" s="267"/>
      <c r="S193" s="267"/>
      <c r="T193" s="267"/>
    </row>
    <row r="194" spans="2:20" ht="15.5" customHeight="1" x14ac:dyDescent="0.2">
      <c r="C194" s="331"/>
      <c r="D194" s="280" t="s">
        <v>391</v>
      </c>
      <c r="E194" s="280"/>
      <c r="F194" s="231" t="s">
        <v>391</v>
      </c>
      <c r="G194" s="204" t="s">
        <v>225</v>
      </c>
      <c r="H194" s="332" t="s">
        <v>1393</v>
      </c>
      <c r="I194" s="204"/>
      <c r="J194" s="204" t="s">
        <v>160</v>
      </c>
      <c r="K194" s="204" t="s">
        <v>1055</v>
      </c>
      <c r="L194" s="204"/>
      <c r="M194" s="332" t="s">
        <v>413</v>
      </c>
      <c r="N194" s="230"/>
      <c r="O194" s="338" t="s">
        <v>1056</v>
      </c>
      <c r="P194" s="230"/>
      <c r="Q194" s="787" t="s">
        <v>433</v>
      </c>
      <c r="R194" s="806" t="s">
        <v>114</v>
      </c>
      <c r="S194" s="806" t="s">
        <v>610</v>
      </c>
      <c r="T194" s="810"/>
    </row>
    <row r="195" spans="2:20" ht="15.5" customHeight="1" x14ac:dyDescent="0.2">
      <c r="C195" s="333"/>
      <c r="D195" s="45"/>
      <c r="E195" s="45"/>
      <c r="F195" s="288" t="s">
        <v>337</v>
      </c>
      <c r="G195" s="289"/>
      <c r="H195" s="289"/>
      <c r="I195" s="289"/>
      <c r="J195" s="289"/>
      <c r="K195" s="289"/>
      <c r="L195" s="289"/>
      <c r="M195" s="289"/>
      <c r="N195" s="290"/>
      <c r="O195" s="289"/>
      <c r="P195" s="45"/>
      <c r="Q195" s="769"/>
      <c r="R195" s="807"/>
      <c r="S195" s="807"/>
      <c r="T195" s="811"/>
    </row>
    <row r="196" spans="2:20" ht="15.5" customHeight="1" x14ac:dyDescent="0.2">
      <c r="C196" s="333"/>
      <c r="D196" s="45"/>
      <c r="E196" s="45"/>
      <c r="F196" s="288" t="s">
        <v>337</v>
      </c>
      <c r="G196" s="289"/>
      <c r="H196" s="289"/>
      <c r="I196" s="289"/>
      <c r="J196" s="289"/>
      <c r="K196" s="289"/>
      <c r="L196" s="289"/>
      <c r="M196" s="289"/>
      <c r="N196" s="290"/>
      <c r="O196" s="289"/>
      <c r="P196" s="45"/>
      <c r="Q196" s="769"/>
      <c r="R196" s="807"/>
      <c r="S196" s="807"/>
      <c r="T196" s="811"/>
    </row>
    <row r="197" spans="2:20" ht="15.5" customHeight="1" thickBot="1" x14ac:dyDescent="0.25">
      <c r="C197" s="334"/>
      <c r="D197" s="209"/>
      <c r="E197" s="209"/>
      <c r="F197" s="335" t="s">
        <v>337</v>
      </c>
      <c r="G197" s="336"/>
      <c r="H197" s="336"/>
      <c r="I197" s="336"/>
      <c r="J197" s="336"/>
      <c r="K197" s="336"/>
      <c r="L197" s="336"/>
      <c r="M197" s="336"/>
      <c r="N197" s="337"/>
      <c r="O197" s="336"/>
      <c r="P197" s="209"/>
      <c r="Q197" s="788"/>
      <c r="R197" s="808"/>
      <c r="S197" s="808"/>
      <c r="T197" s="812"/>
    </row>
    <row r="198" spans="2:20" ht="17" thickBot="1" x14ac:dyDescent="0.25">
      <c r="C198" s="382"/>
      <c r="D198" s="190"/>
      <c r="E198" s="190"/>
      <c r="F198" s="190"/>
      <c r="G198" s="190"/>
      <c r="H198" s="190"/>
      <c r="I198" s="190"/>
      <c r="J198" s="190"/>
      <c r="K198" s="190"/>
      <c r="L198" s="190"/>
      <c r="M198" s="190"/>
      <c r="N198" s="316"/>
      <c r="O198" s="191"/>
      <c r="P198" s="381"/>
      <c r="Q198" s="190"/>
      <c r="R198" s="190"/>
      <c r="S198" s="190"/>
      <c r="T198" s="190"/>
    </row>
    <row r="199" spans="2:20" ht="15" customHeight="1" x14ac:dyDescent="0.2">
      <c r="B199" s="40" t="s">
        <v>743</v>
      </c>
      <c r="C199" s="331"/>
      <c r="D199" s="204" t="s">
        <v>1344</v>
      </c>
      <c r="E199" s="204"/>
      <c r="F199" s="231" t="s">
        <v>858</v>
      </c>
      <c r="G199" s="204"/>
      <c r="H199" s="230"/>
      <c r="I199" s="204"/>
      <c r="J199" s="204"/>
      <c r="K199" s="204"/>
      <c r="L199" s="204"/>
      <c r="M199" s="332"/>
      <c r="N199" s="230"/>
      <c r="O199" s="100" t="s">
        <v>857</v>
      </c>
      <c r="P199" s="230"/>
      <c r="Q199" s="787" t="s">
        <v>434</v>
      </c>
      <c r="R199" s="806" t="s">
        <v>114</v>
      </c>
      <c r="S199" s="806" t="s">
        <v>610</v>
      </c>
      <c r="T199" s="810"/>
    </row>
    <row r="200" spans="2:20" ht="15.5" customHeight="1" x14ac:dyDescent="0.2">
      <c r="C200" s="333"/>
      <c r="D200" s="12" t="s">
        <v>1345</v>
      </c>
      <c r="E200" s="12"/>
      <c r="F200" s="60"/>
      <c r="G200" s="12"/>
      <c r="H200" s="45"/>
      <c r="I200" s="12"/>
      <c r="J200" s="51"/>
      <c r="K200" s="51"/>
      <c r="L200" s="51"/>
      <c r="M200" s="51"/>
      <c r="N200" s="240"/>
      <c r="O200" s="752" t="s">
        <v>859</v>
      </c>
      <c r="P200" s="45"/>
      <c r="Q200" s="769"/>
      <c r="R200" s="807"/>
      <c r="S200" s="807"/>
      <c r="T200" s="811"/>
    </row>
    <row r="201" spans="2:20" ht="15.5" customHeight="1" x14ac:dyDescent="0.2">
      <c r="C201" s="333"/>
      <c r="D201" s="12" t="s">
        <v>1346</v>
      </c>
      <c r="E201" s="12"/>
      <c r="F201" s="60"/>
      <c r="G201" s="12"/>
      <c r="H201" s="45"/>
      <c r="I201" s="12"/>
      <c r="J201" s="51"/>
      <c r="K201" s="51"/>
      <c r="L201" s="51"/>
      <c r="M201" s="51"/>
      <c r="N201" s="267"/>
      <c r="O201" s="771"/>
      <c r="P201" s="45"/>
      <c r="Q201" s="769"/>
      <c r="R201" s="807"/>
      <c r="S201" s="807"/>
      <c r="T201" s="811"/>
    </row>
    <row r="202" spans="2:20" ht="17" thickBot="1" x14ac:dyDescent="0.25">
      <c r="C202" s="334"/>
      <c r="D202" s="279" t="s">
        <v>1347</v>
      </c>
      <c r="E202" s="279"/>
      <c r="F202" s="243"/>
      <c r="G202" s="134"/>
      <c r="H202" s="209"/>
      <c r="I202" s="134"/>
      <c r="J202" s="134"/>
      <c r="K202" s="134"/>
      <c r="L202" s="134"/>
      <c r="M202" s="389"/>
      <c r="N202" s="390"/>
      <c r="O202" s="823"/>
      <c r="P202" s="209"/>
      <c r="Q202" s="788"/>
      <c r="R202" s="808"/>
      <c r="S202" s="808"/>
      <c r="T202" s="812"/>
    </row>
    <row r="203" spans="2:20" ht="17" thickBot="1" x14ac:dyDescent="0.25">
      <c r="C203" s="382"/>
      <c r="D203" s="190"/>
      <c r="E203" s="190"/>
      <c r="F203" s="190"/>
      <c r="G203" s="190"/>
      <c r="H203" s="190"/>
      <c r="I203" s="190"/>
      <c r="J203" s="190"/>
      <c r="K203" s="190"/>
      <c r="L203" s="190"/>
      <c r="M203" s="190"/>
      <c r="N203" s="316"/>
      <c r="O203" s="191"/>
      <c r="P203" s="381"/>
      <c r="Q203" s="190"/>
      <c r="R203" s="190"/>
      <c r="S203" s="190"/>
      <c r="T203" s="190"/>
    </row>
    <row r="204" spans="2:20" ht="18" thickBot="1" x14ac:dyDescent="0.25">
      <c r="B204" s="40" t="s">
        <v>743</v>
      </c>
      <c r="C204" s="401"/>
      <c r="D204" s="385"/>
      <c r="E204" s="385"/>
      <c r="F204" s="402"/>
      <c r="G204" s="403"/>
      <c r="H204" s="385"/>
      <c r="I204" s="403"/>
      <c r="J204" s="404" t="s">
        <v>856</v>
      </c>
      <c r="K204" s="403"/>
      <c r="L204" s="403"/>
      <c r="M204" s="405"/>
      <c r="N204" s="385"/>
      <c r="O204" s="406"/>
      <c r="P204" s="385"/>
      <c r="Q204" s="386" t="s">
        <v>18</v>
      </c>
      <c r="R204" s="385"/>
      <c r="S204" s="385"/>
      <c r="T204" s="407"/>
    </row>
    <row r="205" spans="2:20" x14ac:dyDescent="0.2">
      <c r="C205" s="632"/>
      <c r="F205" s="691"/>
      <c r="G205" s="633"/>
      <c r="I205" s="633"/>
      <c r="J205" s="124">
        <f>COUNTIF(J109:K204,"BG*")</f>
        <v>53</v>
      </c>
      <c r="K205" s="633"/>
      <c r="L205" s="633"/>
      <c r="M205" s="125"/>
      <c r="Q205" s="126"/>
    </row>
    <row r="206" spans="2:20" x14ac:dyDescent="0.2">
      <c r="C206" s="632"/>
      <c r="F206" s="691"/>
      <c r="G206" s="633"/>
      <c r="I206" s="633"/>
      <c r="J206" s="124">
        <f>COUNTIF(J110:K205,"BM*")</f>
        <v>8</v>
      </c>
      <c r="K206" s="633"/>
      <c r="L206" s="633"/>
      <c r="M206" s="125"/>
      <c r="Q206" s="126"/>
    </row>
    <row r="207" spans="2:20" x14ac:dyDescent="0.2">
      <c r="C207" s="632"/>
      <c r="F207" s="691"/>
      <c r="G207" s="633"/>
      <c r="I207" s="633"/>
      <c r="J207" s="124"/>
      <c r="K207" s="633"/>
      <c r="L207" s="633"/>
      <c r="M207" s="125"/>
      <c r="Q207" s="126"/>
    </row>
    <row r="208" spans="2:20" x14ac:dyDescent="0.2">
      <c r="C208" s="632"/>
      <c r="F208" s="125"/>
      <c r="G208" s="633"/>
      <c r="I208" s="633"/>
      <c r="J208" s="124"/>
      <c r="K208" s="633"/>
      <c r="L208" s="633"/>
      <c r="M208" s="125"/>
      <c r="Q208" s="126"/>
    </row>
    <row r="209" spans="2:23" s="39" customFormat="1" ht="15.75" customHeight="1" x14ac:dyDescent="0.2">
      <c r="B209" s="40"/>
      <c r="C209" s="47"/>
      <c r="D209" s="47"/>
      <c r="E209" s="47"/>
      <c r="F209" s="40"/>
      <c r="G209" s="40"/>
      <c r="H209" s="117"/>
      <c r="I209" s="40"/>
      <c r="J209" s="47"/>
      <c r="K209" s="47"/>
      <c r="L209" s="47"/>
      <c r="M209" s="40"/>
      <c r="N209" s="117"/>
      <c r="O209" s="118"/>
      <c r="P209" s="119"/>
      <c r="Q209" s="120"/>
      <c r="R209" s="40"/>
      <c r="S209" s="40"/>
      <c r="T209" s="40"/>
      <c r="U209" s="40"/>
      <c r="V209" s="40"/>
      <c r="W209" s="40"/>
    </row>
    <row r="210" spans="2:23" customFormat="1" ht="16" customHeight="1" x14ac:dyDescent="0.2">
      <c r="C210" s="47"/>
      <c r="D210" s="47"/>
      <c r="E210" s="47"/>
      <c r="F210" s="47"/>
      <c r="G210" s="47"/>
      <c r="H210" s="119"/>
      <c r="I210" s="47"/>
      <c r="J210" s="47"/>
      <c r="K210" s="47"/>
      <c r="L210" s="47"/>
      <c r="M210" s="47"/>
      <c r="N210" s="119"/>
      <c r="O210" s="118"/>
      <c r="P210" s="119"/>
      <c r="Q210" s="120"/>
      <c r="R210" s="40"/>
      <c r="S210" s="40"/>
      <c r="T210" s="40"/>
      <c r="U210" s="44"/>
      <c r="V210" s="44"/>
      <c r="W210" s="44"/>
    </row>
    <row r="273" spans="2:23" x14ac:dyDescent="0.2">
      <c r="B273" s="148"/>
      <c r="C273"/>
      <c r="D273" s="14"/>
      <c r="E273" s="14"/>
      <c r="F273" s="130"/>
      <c r="G273" s="14"/>
      <c r="H273" s="14"/>
      <c r="I273" s="14"/>
      <c r="J273" s="14">
        <f>COUNTIF('L1A,B,C Vecchio'!J3:K61,"BG*")</f>
        <v>30</v>
      </c>
      <c r="K273" s="14"/>
      <c r="L273" s="14"/>
      <c r="M273" s="21"/>
      <c r="N273" s="14"/>
      <c r="O273" s="65"/>
      <c r="P273" s="179"/>
      <c r="Q273" s="220"/>
      <c r="R273" s="20"/>
      <c r="S273"/>
      <c r="T273"/>
      <c r="U273"/>
      <c r="V273"/>
      <c r="W273"/>
    </row>
    <row r="274" spans="2:23" x14ac:dyDescent="0.2">
      <c r="B274" s="148"/>
      <c r="C274"/>
      <c r="D274" s="14"/>
      <c r="E274" s="14"/>
      <c r="F274" s="130"/>
      <c r="G274" s="14"/>
      <c r="H274" s="14"/>
      <c r="I274" s="14"/>
      <c r="J274" s="14"/>
      <c r="K274" s="14"/>
      <c r="L274" s="14"/>
      <c r="M274" s="21"/>
      <c r="N274" s="14"/>
      <c r="O274" s="65"/>
      <c r="P274" s="179"/>
      <c r="Q274" s="220"/>
      <c r="R274" s="20"/>
      <c r="S274"/>
      <c r="T274"/>
      <c r="U274"/>
      <c r="V274"/>
      <c r="W274"/>
    </row>
    <row r="275" spans="2:23" x14ac:dyDescent="0.2">
      <c r="C275"/>
      <c r="D275" s="14"/>
      <c r="E275" s="14"/>
      <c r="F275" s="14"/>
      <c r="G275"/>
      <c r="H275" s="14"/>
      <c r="I275"/>
      <c r="J275" s="14"/>
      <c r="K275" s="14"/>
      <c r="L275" s="14"/>
      <c r="M275" s="21"/>
      <c r="N275" s="14"/>
      <c r="O275"/>
      <c r="P275"/>
      <c r="Q275" s="20"/>
      <c r="R275"/>
      <c r="S275"/>
      <c r="T275"/>
      <c r="U275"/>
      <c r="V275"/>
      <c r="W275"/>
    </row>
    <row r="276" spans="2:23" x14ac:dyDescent="0.2">
      <c r="C276"/>
      <c r="D276" s="14"/>
      <c r="E276" s="14"/>
      <c r="F276" s="14"/>
      <c r="G276"/>
      <c r="H276" s="14"/>
      <c r="I276"/>
      <c r="J276" s="14"/>
      <c r="K276" s="14"/>
      <c r="L276" s="14"/>
      <c r="M276" s="21"/>
      <c r="N276" s="14"/>
      <c r="O276"/>
      <c r="P276"/>
      <c r="Q276" s="20"/>
      <c r="R276"/>
      <c r="S276"/>
      <c r="T276"/>
    </row>
    <row r="277" spans="2:23" customFormat="1" ht="23" customHeight="1" x14ac:dyDescent="0.2">
      <c r="C277" s="81" t="s">
        <v>2107</v>
      </c>
      <c r="D277" s="82"/>
      <c r="E277" s="82"/>
      <c r="F277" s="82"/>
      <c r="G277" s="82"/>
      <c r="H277" s="82"/>
      <c r="I277" s="82"/>
      <c r="J277" s="82"/>
      <c r="K277" s="82"/>
      <c r="L277" s="82"/>
      <c r="M277" s="435"/>
      <c r="N277" s="82"/>
      <c r="O277" s="82" t="s">
        <v>1337</v>
      </c>
      <c r="P277" s="82"/>
      <c r="Q277" s="82"/>
      <c r="R277" s="435"/>
      <c r="S277" s="435"/>
      <c r="T277" s="436"/>
    </row>
    <row r="278" spans="2:23" ht="17" thickBot="1" x14ac:dyDescent="0.25">
      <c r="C278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/>
      <c r="P278"/>
      <c r="Q278"/>
      <c r="R278"/>
      <c r="S278"/>
      <c r="T278"/>
      <c r="U278"/>
      <c r="V278"/>
      <c r="W278" s="516"/>
    </row>
    <row r="279" spans="2:23" x14ac:dyDescent="0.2">
      <c r="B279" s="148"/>
      <c r="C279" s="546"/>
      <c r="D279" s="506"/>
      <c r="E279" s="506"/>
      <c r="F279" s="204"/>
      <c r="G279" s="506"/>
      <c r="H279" s="506"/>
      <c r="I279" s="506"/>
      <c r="J279" s="506"/>
      <c r="K279" s="496" t="s">
        <v>2108</v>
      </c>
      <c r="L279" s="506"/>
      <c r="M279" s="88"/>
      <c r="N279" s="506"/>
      <c r="O279" s="127" t="s">
        <v>1997</v>
      </c>
      <c r="P279" s="784"/>
      <c r="Q279" s="787" t="s">
        <v>2105</v>
      </c>
      <c r="R279" s="789" t="s">
        <v>114</v>
      </c>
      <c r="S279" s="542"/>
      <c r="T279" s="543"/>
      <c r="U279" s="543"/>
      <c r="V279" s="543"/>
      <c r="W279" s="544"/>
    </row>
    <row r="280" spans="2:23" x14ac:dyDescent="0.2">
      <c r="B280" s="148"/>
      <c r="C280" s="547"/>
      <c r="D280" s="16"/>
      <c r="E280" s="16"/>
      <c r="F280" s="12"/>
      <c r="G280" s="16"/>
      <c r="H280" s="16"/>
      <c r="I280" s="16"/>
      <c r="J280" s="16"/>
      <c r="K280" s="496" t="s">
        <v>2109</v>
      </c>
      <c r="L280" s="16"/>
      <c r="M280" s="13"/>
      <c r="N280" s="16"/>
      <c r="O280" s="42" t="s">
        <v>2111</v>
      </c>
      <c r="P280" s="785"/>
      <c r="Q280" s="769"/>
      <c r="R280" s="790"/>
      <c r="S280" s="6"/>
      <c r="T280"/>
      <c r="U280"/>
      <c r="V280"/>
      <c r="W280" s="545"/>
    </row>
    <row r="281" spans="2:23" x14ac:dyDescent="0.2">
      <c r="B281" s="148"/>
      <c r="C281" s="547"/>
      <c r="D281" s="16"/>
      <c r="E281" s="16"/>
      <c r="F281" s="12"/>
      <c r="G281" s="16"/>
      <c r="H281" s="16"/>
      <c r="I281" s="16"/>
      <c r="J281" s="16"/>
      <c r="K281" s="496" t="s">
        <v>2110</v>
      </c>
      <c r="L281" s="16"/>
      <c r="M281" s="13"/>
      <c r="N281" s="16"/>
      <c r="O281" s="42" t="s">
        <v>2112</v>
      </c>
      <c r="P281" s="785"/>
      <c r="Q281" s="769"/>
      <c r="R281" s="790"/>
      <c r="S281" s="6"/>
      <c r="T281"/>
      <c r="U281"/>
      <c r="V281"/>
      <c r="W281" s="545"/>
    </row>
    <row r="282" spans="2:23" ht="17" thickBot="1" x14ac:dyDescent="0.25">
      <c r="B282" s="148"/>
      <c r="C282" s="537"/>
      <c r="D282" s="512"/>
      <c r="E282" s="512"/>
      <c r="F282" s="134"/>
      <c r="G282" s="512"/>
      <c r="H282" s="512"/>
      <c r="I282" s="512"/>
      <c r="J282" s="512"/>
      <c r="K282" s="512"/>
      <c r="L282" s="512"/>
      <c r="M282" s="96"/>
      <c r="N282" s="512"/>
      <c r="O282" s="345"/>
      <c r="P282" s="786"/>
      <c r="Q282" s="788"/>
      <c r="R282" s="791"/>
      <c r="S282" s="539"/>
      <c r="T282" s="540"/>
      <c r="U282" s="540"/>
      <c r="V282" s="540"/>
      <c r="W282"/>
    </row>
    <row r="283" spans="2:23" x14ac:dyDescent="0.2">
      <c r="C283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/>
      <c r="P283"/>
      <c r="Q283"/>
      <c r="R283"/>
      <c r="S283"/>
      <c r="T283"/>
      <c r="U283"/>
      <c r="V283"/>
      <c r="W283"/>
    </row>
    <row r="284" spans="2:23" x14ac:dyDescent="0.2">
      <c r="C28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/>
      <c r="P284"/>
      <c r="Q284"/>
      <c r="R284"/>
      <c r="S284"/>
      <c r="T284"/>
      <c r="U284"/>
      <c r="V284"/>
      <c r="W284"/>
    </row>
    <row r="285" spans="2:23" x14ac:dyDescent="0.2">
      <c r="C285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/>
      <c r="O285"/>
      <c r="P285"/>
      <c r="Q285"/>
      <c r="R285"/>
      <c r="S285"/>
      <c r="T285"/>
      <c r="U285"/>
      <c r="V285"/>
      <c r="W285"/>
    </row>
  </sheetData>
  <mergeCells count="185">
    <mergeCell ref="Q194:Q197"/>
    <mergeCell ref="S97:S98"/>
    <mergeCell ref="S100:S101"/>
    <mergeCell ref="S169:S172"/>
    <mergeCell ref="R154:R157"/>
    <mergeCell ref="R149:R152"/>
    <mergeCell ref="O200:O202"/>
    <mergeCell ref="Q184:Q187"/>
    <mergeCell ref="Q174:Q177"/>
    <mergeCell ref="Q179:Q182"/>
    <mergeCell ref="Q164:Q167"/>
    <mergeCell ref="Q169:Q172"/>
    <mergeCell ref="Q199:Q202"/>
    <mergeCell ref="Q134:Q137"/>
    <mergeCell ref="Q129:Q132"/>
    <mergeCell ref="Q159:Q162"/>
    <mergeCell ref="R80:R83"/>
    <mergeCell ref="T80:T83"/>
    <mergeCell ref="R93:R95"/>
    <mergeCell ref="T109:T112"/>
    <mergeCell ref="R189:R192"/>
    <mergeCell ref="Q189:Q192"/>
    <mergeCell ref="R129:R132"/>
    <mergeCell ref="R139:R142"/>
    <mergeCell ref="R134:R137"/>
    <mergeCell ref="R144:R147"/>
    <mergeCell ref="R109:R112"/>
    <mergeCell ref="R114:R117"/>
    <mergeCell ref="R119:R122"/>
    <mergeCell ref="R124:R127"/>
    <mergeCell ref="R97:R98"/>
    <mergeCell ref="Q144:Q147"/>
    <mergeCell ref="S109:S112"/>
    <mergeCell ref="S119:S122"/>
    <mergeCell ref="S124:S127"/>
    <mergeCell ref="S129:S132"/>
    <mergeCell ref="S134:S137"/>
    <mergeCell ref="S139:S142"/>
    <mergeCell ref="S144:S147"/>
    <mergeCell ref="S114:S117"/>
    <mergeCell ref="S32:S34"/>
    <mergeCell ref="S35:S38"/>
    <mergeCell ref="S39:S42"/>
    <mergeCell ref="S43:S45"/>
    <mergeCell ref="S46:S48"/>
    <mergeCell ref="S49:S52"/>
    <mergeCell ref="S89:S91"/>
    <mergeCell ref="S84:S87"/>
    <mergeCell ref="S93:S95"/>
    <mergeCell ref="S80:S83"/>
    <mergeCell ref="S53:S59"/>
    <mergeCell ref="S60:S63"/>
    <mergeCell ref="S69:S72"/>
    <mergeCell ref="S73:S75"/>
    <mergeCell ref="S76:S79"/>
    <mergeCell ref="T7:T10"/>
    <mergeCell ref="T184:T187"/>
    <mergeCell ref="T194:T197"/>
    <mergeCell ref="T39:T42"/>
    <mergeCell ref="T49:T52"/>
    <mergeCell ref="T60:T63"/>
    <mergeCell ref="T69:T72"/>
    <mergeCell ref="T189:T192"/>
    <mergeCell ref="T119:T122"/>
    <mergeCell ref="T174:T177"/>
    <mergeCell ref="T179:T182"/>
    <mergeCell ref="T199:T202"/>
    <mergeCell ref="S149:S152"/>
    <mergeCell ref="S154:S157"/>
    <mergeCell ref="S159:S162"/>
    <mergeCell ref="S164:S167"/>
    <mergeCell ref="R159:R162"/>
    <mergeCell ref="R164:R167"/>
    <mergeCell ref="R169:R172"/>
    <mergeCell ref="R174:R177"/>
    <mergeCell ref="R179:R182"/>
    <mergeCell ref="R184:R187"/>
    <mergeCell ref="R194:R197"/>
    <mergeCell ref="R199:R202"/>
    <mergeCell ref="S11:S14"/>
    <mergeCell ref="S184:S187"/>
    <mergeCell ref="T114:T117"/>
    <mergeCell ref="S189:S192"/>
    <mergeCell ref="S194:S197"/>
    <mergeCell ref="S199:S202"/>
    <mergeCell ref="R100:R101"/>
    <mergeCell ref="R89:R91"/>
    <mergeCell ref="T124:T127"/>
    <mergeCell ref="T129:T132"/>
    <mergeCell ref="T134:T137"/>
    <mergeCell ref="T139:T142"/>
    <mergeCell ref="T144:T147"/>
    <mergeCell ref="T149:T152"/>
    <mergeCell ref="T154:T157"/>
    <mergeCell ref="T159:T162"/>
    <mergeCell ref="T164:T167"/>
    <mergeCell ref="T169:T172"/>
    <mergeCell ref="S174:S177"/>
    <mergeCell ref="S179:S182"/>
    <mergeCell ref="R64:R68"/>
    <mergeCell ref="S64:S68"/>
    <mergeCell ref="R76:R79"/>
    <mergeCell ref="R27:R31"/>
    <mergeCell ref="O35:O38"/>
    <mergeCell ref="Q35:Q38"/>
    <mergeCell ref="O47:O48"/>
    <mergeCell ref="Q46:Q48"/>
    <mergeCell ref="P46:P48"/>
    <mergeCell ref="Q49:Q52"/>
    <mergeCell ref="P41:P42"/>
    <mergeCell ref="Q80:Q83"/>
    <mergeCell ref="P109:P112"/>
    <mergeCell ref="P100:P101"/>
    <mergeCell ref="Q100:Q101"/>
    <mergeCell ref="Q93:Q95"/>
    <mergeCell ref="Q60:Q63"/>
    <mergeCell ref="P97:P98"/>
    <mergeCell ref="P53:P59"/>
    <mergeCell ref="P74:P75"/>
    <mergeCell ref="Q64:Q68"/>
    <mergeCell ref="P64:P65"/>
    <mergeCell ref="Q73:Q75"/>
    <mergeCell ref="Q84:Q87"/>
    <mergeCell ref="Q76:Q79"/>
    <mergeCell ref="P76:P79"/>
    <mergeCell ref="P84:P87"/>
    <mergeCell ref="Q43:Q45"/>
    <mergeCell ref="Q69:Q72"/>
    <mergeCell ref="Q149:Q152"/>
    <mergeCell ref="Q154:Q157"/>
    <mergeCell ref="Q53:Q59"/>
    <mergeCell ref="Q114:Q117"/>
    <mergeCell ref="Q97:Q98"/>
    <mergeCell ref="Q109:Q112"/>
    <mergeCell ref="Q139:Q142"/>
    <mergeCell ref="Q119:Q122"/>
    <mergeCell ref="Q124:Q127"/>
    <mergeCell ref="P13:P14"/>
    <mergeCell ref="T11:T14"/>
    <mergeCell ref="R35:R38"/>
    <mergeCell ref="R39:R42"/>
    <mergeCell ref="R43:R45"/>
    <mergeCell ref="R46:R48"/>
    <mergeCell ref="R49:R52"/>
    <mergeCell ref="Q89:Q91"/>
    <mergeCell ref="P32:P34"/>
    <mergeCell ref="P35:P36"/>
    <mergeCell ref="P37:P38"/>
    <mergeCell ref="P43:P45"/>
    <mergeCell ref="P67:P68"/>
    <mergeCell ref="Q32:Q34"/>
    <mergeCell ref="R84:R87"/>
    <mergeCell ref="R69:R72"/>
    <mergeCell ref="R73:R75"/>
    <mergeCell ref="Q11:Q14"/>
    <mergeCell ref="R11:R14"/>
    <mergeCell ref="R32:R34"/>
    <mergeCell ref="R24:R26"/>
    <mergeCell ref="R53:R59"/>
    <mergeCell ref="R60:R63"/>
    <mergeCell ref="Q39:Q42"/>
    <mergeCell ref="P279:P282"/>
    <mergeCell ref="Q279:Q282"/>
    <mergeCell ref="R279:R282"/>
    <mergeCell ref="R2:T2"/>
    <mergeCell ref="P11:P12"/>
    <mergeCell ref="P15:P16"/>
    <mergeCell ref="P19:P20"/>
    <mergeCell ref="P21:P22"/>
    <mergeCell ref="P24:P26"/>
    <mergeCell ref="P27:P28"/>
    <mergeCell ref="P29:P30"/>
    <mergeCell ref="Q7:Q10"/>
    <mergeCell ref="Q27:Q31"/>
    <mergeCell ref="Q24:Q26"/>
    <mergeCell ref="Q19:Q23"/>
    <mergeCell ref="Q15:Q18"/>
    <mergeCell ref="S7:S10"/>
    <mergeCell ref="S15:S18"/>
    <mergeCell ref="S19:S23"/>
    <mergeCell ref="S24:S26"/>
    <mergeCell ref="S27:S31"/>
    <mergeCell ref="R7:R10"/>
    <mergeCell ref="R15:R18"/>
    <mergeCell ref="R19:R23"/>
  </mergeCells>
  <phoneticPr fontId="14" type="noConversion"/>
  <pageMargins left="0.70866141732283472" right="0.70866141732283472" top="0.74803149606299213" bottom="0.74803149606299213" header="0.31496062992125984" footer="0.31496062992125984"/>
  <pageSetup paperSize="8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81F8-B1C0-4DC2-A43C-16A6EA6C4AD7}">
  <dimension ref="B1:X544"/>
  <sheetViews>
    <sheetView zoomScale="70" zoomScaleNormal="70" workbookViewId="0">
      <selection activeCell="O288" sqref="O288"/>
    </sheetView>
  </sheetViews>
  <sheetFormatPr baseColWidth="10" defaultColWidth="8.83203125" defaultRowHeight="16" x14ac:dyDescent="0.2"/>
  <cols>
    <col min="2" max="2" width="14.6640625" customWidth="1"/>
    <col min="3" max="3" width="29.83203125" bestFit="1" customWidth="1"/>
    <col min="4" max="4" width="23.6640625" bestFit="1" customWidth="1"/>
    <col min="7" max="7" width="18.6640625" bestFit="1" customWidth="1"/>
    <col min="10" max="10" width="13.1640625" customWidth="1"/>
    <col min="15" max="15" width="40.1640625" bestFit="1" customWidth="1"/>
    <col min="16" max="16" width="24.33203125" customWidth="1"/>
    <col min="17" max="17" width="24.1640625" customWidth="1"/>
  </cols>
  <sheetData>
    <row r="1" spans="2:23" ht="23" customHeight="1" x14ac:dyDescent="0.2">
      <c r="C1" s="81" t="s">
        <v>971</v>
      </c>
      <c r="D1" s="82"/>
      <c r="E1" s="82"/>
      <c r="F1" s="82"/>
      <c r="G1" s="82"/>
      <c r="H1" s="82"/>
      <c r="I1" s="82"/>
      <c r="J1" s="82"/>
      <c r="K1" s="82"/>
      <c r="L1" s="82"/>
      <c r="M1" s="435"/>
      <c r="N1" s="82"/>
      <c r="O1" s="82" t="s">
        <v>1337</v>
      </c>
      <c r="P1" s="82"/>
      <c r="Q1" s="82"/>
      <c r="R1" s="435"/>
      <c r="S1" s="435"/>
      <c r="T1" s="436"/>
      <c r="U1" s="435"/>
      <c r="V1" s="435"/>
      <c r="W1" s="435"/>
    </row>
    <row r="2" spans="2:23" ht="28.75" customHeight="1" thickBot="1" x14ac:dyDescent="0.25">
      <c r="C2" s="504"/>
      <c r="D2" s="505"/>
      <c r="E2" s="505"/>
      <c r="F2" s="505"/>
      <c r="G2" s="505"/>
      <c r="H2" s="505"/>
      <c r="I2" s="505"/>
      <c r="J2" s="505"/>
      <c r="K2" s="505"/>
      <c r="L2" s="505"/>
      <c r="M2" s="504"/>
      <c r="N2" s="505"/>
      <c r="O2" s="505"/>
      <c r="P2" s="505"/>
      <c r="Q2" s="505"/>
      <c r="R2" s="504"/>
      <c r="S2" s="504"/>
      <c r="T2" s="322"/>
      <c r="U2" s="40"/>
      <c r="V2" s="40"/>
      <c r="W2" s="40"/>
    </row>
    <row r="3" spans="2:23" ht="16" customHeight="1" thickBot="1" x14ac:dyDescent="0.25">
      <c r="B3" s="148" t="s">
        <v>1993</v>
      </c>
      <c r="C3" s="301" t="s">
        <v>1910</v>
      </c>
      <c r="D3" s="506" t="s">
        <v>54</v>
      </c>
      <c r="E3" s="506"/>
      <c r="F3" s="442" t="s">
        <v>972</v>
      </c>
      <c r="G3" s="88" t="s">
        <v>973</v>
      </c>
      <c r="H3" s="88" t="s">
        <v>974</v>
      </c>
      <c r="I3" s="88"/>
      <c r="J3" s="185"/>
      <c r="K3" s="105" t="s">
        <v>160</v>
      </c>
      <c r="L3" s="311"/>
      <c r="M3" s="298" t="s">
        <v>1999</v>
      </c>
      <c r="N3" s="88"/>
      <c r="O3" s="127" t="s">
        <v>1516</v>
      </c>
      <c r="P3" s="784">
        <v>542082935</v>
      </c>
      <c r="Q3" s="787" t="s">
        <v>446</v>
      </c>
      <c r="R3" s="789" t="s">
        <v>114</v>
      </c>
      <c r="S3" s="507"/>
      <c r="T3" s="508"/>
      <c r="U3" s="509"/>
      <c r="V3" s="509"/>
      <c r="W3" s="242"/>
    </row>
    <row r="4" spans="2:23" ht="16" customHeight="1" x14ac:dyDescent="0.2">
      <c r="B4" s="148" t="s">
        <v>1993</v>
      </c>
      <c r="C4" s="186" t="s">
        <v>1910</v>
      </c>
      <c r="D4" s="16" t="s">
        <v>1335</v>
      </c>
      <c r="E4" s="16"/>
      <c r="F4" s="54" t="s">
        <v>975</v>
      </c>
      <c r="G4" s="13" t="s">
        <v>973</v>
      </c>
      <c r="H4" s="13" t="s">
        <v>1527</v>
      </c>
      <c r="I4" s="13"/>
      <c r="J4" s="5"/>
      <c r="K4" s="26" t="s">
        <v>160</v>
      </c>
      <c r="L4" s="26"/>
      <c r="M4" s="13" t="s">
        <v>424</v>
      </c>
      <c r="N4" s="38" t="s">
        <v>1528</v>
      </c>
      <c r="O4" s="42" t="s">
        <v>1517</v>
      </c>
      <c r="P4" s="785"/>
      <c r="Q4" s="769"/>
      <c r="R4" s="790"/>
      <c r="S4" s="434"/>
      <c r="T4" s="510"/>
      <c r="U4" s="509"/>
      <c r="V4" s="509"/>
      <c r="W4" s="242" t="s">
        <v>443</v>
      </c>
    </row>
    <row r="5" spans="2:23" x14ac:dyDescent="0.2">
      <c r="B5" s="148" t="s">
        <v>1993</v>
      </c>
      <c r="C5" s="90" t="s">
        <v>1910</v>
      </c>
      <c r="D5" s="16" t="s">
        <v>50</v>
      </c>
      <c r="E5" s="16"/>
      <c r="F5" s="13" t="s">
        <v>976</v>
      </c>
      <c r="G5" s="13" t="s">
        <v>973</v>
      </c>
      <c r="H5" s="13" t="s">
        <v>977</v>
      </c>
      <c r="I5" s="13"/>
      <c r="J5" s="45"/>
      <c r="K5" s="13" t="s">
        <v>160</v>
      </c>
      <c r="L5" s="13"/>
      <c r="M5" s="298" t="s">
        <v>1999</v>
      </c>
      <c r="N5" s="13"/>
      <c r="O5" s="42" t="s">
        <v>1518</v>
      </c>
      <c r="P5" s="785"/>
      <c r="Q5" s="769"/>
      <c r="R5" s="790"/>
      <c r="S5" s="434"/>
      <c r="T5" s="510"/>
      <c r="U5" s="40"/>
      <c r="V5" s="40"/>
      <c r="W5" s="235" t="s">
        <v>443</v>
      </c>
    </row>
    <row r="6" spans="2:23" ht="16" customHeight="1" thickBot="1" x14ac:dyDescent="0.25">
      <c r="B6" s="148" t="s">
        <v>1993</v>
      </c>
      <c r="C6" s="511" t="s">
        <v>1910</v>
      </c>
      <c r="D6" s="512" t="s">
        <v>1336</v>
      </c>
      <c r="E6" s="512"/>
      <c r="F6" s="96" t="s">
        <v>978</v>
      </c>
      <c r="G6" s="96" t="s">
        <v>979</v>
      </c>
      <c r="H6" s="96" t="s">
        <v>1994</v>
      </c>
      <c r="I6" s="96"/>
      <c r="J6" s="96" t="s">
        <v>160</v>
      </c>
      <c r="K6" s="96" t="s">
        <v>49</v>
      </c>
      <c r="L6" s="96"/>
      <c r="M6" s="96" t="s">
        <v>424</v>
      </c>
      <c r="N6" s="96"/>
      <c r="O6" s="345" t="s">
        <v>1519</v>
      </c>
      <c r="P6" s="786"/>
      <c r="Q6" s="788"/>
      <c r="R6" s="791"/>
      <c r="S6" s="513"/>
      <c r="T6" s="514"/>
      <c r="U6" s="515"/>
      <c r="V6" s="515"/>
      <c r="W6" s="239" t="s">
        <v>443</v>
      </c>
    </row>
    <row r="7" spans="2:23" ht="16" customHeight="1" thickBot="1" x14ac:dyDescent="0.25">
      <c r="C7" s="382"/>
      <c r="D7" s="516"/>
      <c r="E7" s="516"/>
      <c r="F7" s="190"/>
      <c r="G7" s="190"/>
      <c r="H7" s="190"/>
      <c r="I7" s="190"/>
      <c r="J7" s="190"/>
      <c r="K7" s="190"/>
      <c r="L7" s="190"/>
      <c r="M7" s="190"/>
      <c r="N7" s="190"/>
      <c r="O7" s="274"/>
      <c r="P7" s="517"/>
      <c r="Q7" s="79"/>
      <c r="R7" s="79"/>
      <c r="S7" s="500"/>
      <c r="T7" s="65"/>
      <c r="U7" s="40"/>
      <c r="V7" s="40"/>
      <c r="W7" s="267"/>
    </row>
    <row r="8" spans="2:23" ht="14.5" customHeight="1" x14ac:dyDescent="0.2">
      <c r="B8" s="580"/>
      <c r="C8" s="518"/>
      <c r="D8" s="204"/>
      <c r="E8" s="204"/>
      <c r="F8" s="519" t="s">
        <v>337</v>
      </c>
      <c r="G8" s="519"/>
      <c r="H8" s="519"/>
      <c r="I8" s="519"/>
      <c r="J8" s="519"/>
      <c r="K8" s="519"/>
      <c r="L8" s="519"/>
      <c r="M8" s="519"/>
      <c r="N8" s="519"/>
      <c r="O8" s="100"/>
      <c r="P8" s="784">
        <v>542082737</v>
      </c>
      <c r="Q8" s="787" t="s">
        <v>257</v>
      </c>
      <c r="R8" s="789" t="s">
        <v>114</v>
      </c>
      <c r="S8" s="501"/>
      <c r="T8" s="520"/>
      <c r="U8" s="509"/>
      <c r="V8" s="509"/>
      <c r="W8" s="242"/>
    </row>
    <row r="9" spans="2:23" x14ac:dyDescent="0.2">
      <c r="B9" s="148" t="s">
        <v>1993</v>
      </c>
      <c r="C9" s="90" t="s">
        <v>1910</v>
      </c>
      <c r="D9" s="12" t="s">
        <v>982</v>
      </c>
      <c r="E9" s="12"/>
      <c r="F9" s="13" t="s">
        <v>981</v>
      </c>
      <c r="G9" s="13" t="s">
        <v>982</v>
      </c>
      <c r="H9" s="13" t="s">
        <v>980</v>
      </c>
      <c r="I9" s="13" t="s">
        <v>1998</v>
      </c>
      <c r="J9" s="323" t="s">
        <v>49</v>
      </c>
      <c r="K9" s="26"/>
      <c r="L9" s="26"/>
      <c r="M9" s="221" t="s">
        <v>767</v>
      </c>
      <c r="N9" s="13"/>
      <c r="O9" s="42" t="s">
        <v>1997</v>
      </c>
      <c r="P9" s="785"/>
      <c r="Q9" s="769"/>
      <c r="R9" s="790"/>
      <c r="S9" s="188"/>
      <c r="T9" s="65"/>
      <c r="U9" s="40"/>
      <c r="V9" s="40"/>
      <c r="W9" s="235"/>
    </row>
    <row r="10" spans="2:23" ht="15.5" customHeight="1" x14ac:dyDescent="0.2">
      <c r="B10" s="148" t="s">
        <v>1993</v>
      </c>
      <c r="C10" s="90" t="s">
        <v>1910</v>
      </c>
      <c r="D10" s="12" t="s">
        <v>983</v>
      </c>
      <c r="E10" s="12"/>
      <c r="F10" s="13" t="s">
        <v>981</v>
      </c>
      <c r="G10" s="13" t="s">
        <v>983</v>
      </c>
      <c r="H10" s="13" t="s">
        <v>980</v>
      </c>
      <c r="I10" s="13" t="s">
        <v>1998</v>
      </c>
      <c r="J10" s="5"/>
      <c r="K10" s="26" t="s">
        <v>160</v>
      </c>
      <c r="L10" s="26"/>
      <c r="M10" s="221" t="s">
        <v>767</v>
      </c>
      <c r="N10" s="13"/>
      <c r="O10" s="42" t="s">
        <v>1864</v>
      </c>
      <c r="P10" s="785"/>
      <c r="Q10" s="769"/>
      <c r="R10" s="790"/>
      <c r="S10" s="188"/>
      <c r="T10" s="65"/>
      <c r="U10" s="40"/>
      <c r="V10" s="40"/>
      <c r="W10" s="235"/>
    </row>
    <row r="11" spans="2:23" ht="16" customHeight="1" thickBot="1" x14ac:dyDescent="0.25">
      <c r="B11" s="148" t="s">
        <v>1993</v>
      </c>
      <c r="C11" s="94" t="s">
        <v>1910</v>
      </c>
      <c r="D11" s="134" t="s">
        <v>1496</v>
      </c>
      <c r="E11" s="134"/>
      <c r="F11" s="265" t="s">
        <v>984</v>
      </c>
      <c r="G11" s="96" t="s">
        <v>973</v>
      </c>
      <c r="H11" s="96" t="s">
        <v>985</v>
      </c>
      <c r="I11" s="96"/>
      <c r="J11" s="499"/>
      <c r="K11" s="496" t="s">
        <v>1582</v>
      </c>
      <c r="L11" s="496"/>
      <c r="M11" s="298" t="s">
        <v>1999</v>
      </c>
      <c r="N11" s="96" t="s">
        <v>1985</v>
      </c>
      <c r="O11" s="128" t="s">
        <v>1518</v>
      </c>
      <c r="P11" s="786"/>
      <c r="Q11" s="788"/>
      <c r="R11" s="791"/>
      <c r="S11" s="502"/>
      <c r="T11" s="521"/>
      <c r="U11" s="515"/>
      <c r="V11" s="515"/>
      <c r="W11" s="239"/>
    </row>
    <row r="12" spans="2:23" ht="16" customHeight="1" thickBot="1" x14ac:dyDescent="0.25">
      <c r="C12" s="382"/>
      <c r="D12" s="349"/>
      <c r="E12" s="349"/>
      <c r="F12" s="190"/>
      <c r="G12" s="190"/>
      <c r="H12" s="190"/>
      <c r="I12" s="190"/>
      <c r="J12" s="190"/>
      <c r="K12" s="190"/>
      <c r="L12" s="190"/>
      <c r="M12" s="190"/>
      <c r="N12" s="190"/>
      <c r="O12" s="274"/>
      <c r="P12" s="517"/>
      <c r="Q12" s="79"/>
      <c r="R12" s="79"/>
      <c r="S12" s="500"/>
      <c r="T12" s="65"/>
      <c r="U12" s="40"/>
      <c r="V12" s="40"/>
      <c r="W12" s="267"/>
    </row>
    <row r="13" spans="2:23" ht="16" customHeight="1" x14ac:dyDescent="0.2">
      <c r="B13" s="579"/>
      <c r="C13" s="518"/>
      <c r="D13" s="204"/>
      <c r="E13" s="204"/>
      <c r="F13" s="522" t="s">
        <v>986</v>
      </c>
      <c r="G13" s="522" t="s">
        <v>973</v>
      </c>
      <c r="H13" s="522" t="s">
        <v>988</v>
      </c>
      <c r="I13" s="522"/>
      <c r="J13" s="523"/>
      <c r="K13" s="524" t="s">
        <v>987</v>
      </c>
      <c r="L13" s="524"/>
      <c r="M13" s="522"/>
      <c r="N13" s="522"/>
      <c r="O13" s="525" t="s">
        <v>989</v>
      </c>
      <c r="P13" s="784">
        <v>542082735</v>
      </c>
      <c r="Q13" s="787" t="s">
        <v>265</v>
      </c>
      <c r="R13" s="789" t="s">
        <v>114</v>
      </c>
      <c r="S13" s="501"/>
      <c r="T13" s="520"/>
      <c r="U13" s="509"/>
      <c r="V13" s="509"/>
      <c r="W13" s="242"/>
    </row>
    <row r="14" spans="2:23" ht="16" customHeight="1" x14ac:dyDescent="0.2">
      <c r="B14" s="148" t="s">
        <v>1993</v>
      </c>
      <c r="C14" s="526" t="s">
        <v>1910</v>
      </c>
      <c r="D14" s="12" t="s">
        <v>1497</v>
      </c>
      <c r="E14" s="12"/>
      <c r="F14" s="13" t="s">
        <v>990</v>
      </c>
      <c r="G14" s="13" t="s">
        <v>973</v>
      </c>
      <c r="H14" s="13" t="s">
        <v>988</v>
      </c>
      <c r="I14" s="13"/>
      <c r="J14" s="26"/>
      <c r="K14" s="26" t="s">
        <v>160</v>
      </c>
      <c r="L14" s="26"/>
      <c r="M14" s="298" t="s">
        <v>1999</v>
      </c>
      <c r="N14" s="13"/>
      <c r="O14" s="42" t="s">
        <v>1516</v>
      </c>
      <c r="P14" s="785"/>
      <c r="Q14" s="769"/>
      <c r="R14" s="790"/>
      <c r="S14" s="188"/>
      <c r="T14" s="65"/>
      <c r="U14" s="40"/>
      <c r="V14" s="40"/>
      <c r="W14" s="235"/>
    </row>
    <row r="15" spans="2:23" x14ac:dyDescent="0.2">
      <c r="B15" s="579"/>
      <c r="C15" s="526"/>
      <c r="D15" s="12"/>
      <c r="E15" s="12"/>
      <c r="F15" s="326" t="s">
        <v>991</v>
      </c>
      <c r="G15" s="326" t="s">
        <v>973</v>
      </c>
      <c r="H15" s="326" t="s">
        <v>992</v>
      </c>
      <c r="I15" s="326"/>
      <c r="J15" s="327"/>
      <c r="K15" s="328" t="s">
        <v>987</v>
      </c>
      <c r="L15" s="328"/>
      <c r="M15" s="326"/>
      <c r="N15" s="326"/>
      <c r="O15" s="329" t="s">
        <v>989</v>
      </c>
      <c r="P15" s="785"/>
      <c r="Q15" s="769"/>
      <c r="R15" s="790"/>
      <c r="S15" s="188"/>
      <c r="T15" s="65"/>
      <c r="U15" s="40"/>
      <c r="V15" s="40"/>
      <c r="W15" s="235"/>
    </row>
    <row r="16" spans="2:23" ht="17" thickBot="1" x14ac:dyDescent="0.25">
      <c r="B16" s="148" t="s">
        <v>1993</v>
      </c>
      <c r="C16" s="511" t="s">
        <v>1910</v>
      </c>
      <c r="D16" s="134" t="s">
        <v>1498</v>
      </c>
      <c r="E16" s="134"/>
      <c r="F16" s="96" t="s">
        <v>993</v>
      </c>
      <c r="G16" s="96" t="s">
        <v>973</v>
      </c>
      <c r="H16" s="96" t="s">
        <v>994</v>
      </c>
      <c r="I16" s="96"/>
      <c r="J16" s="107"/>
      <c r="K16" s="96" t="s">
        <v>160</v>
      </c>
      <c r="L16" s="196"/>
      <c r="M16" s="298" t="s">
        <v>1999</v>
      </c>
      <c r="N16" s="96"/>
      <c r="O16" s="128" t="s">
        <v>1517</v>
      </c>
      <c r="P16" s="786"/>
      <c r="Q16" s="788"/>
      <c r="R16" s="791"/>
      <c r="S16" s="502"/>
      <c r="T16" s="521"/>
      <c r="U16" s="515"/>
      <c r="V16" s="515"/>
      <c r="W16" s="239"/>
    </row>
    <row r="17" spans="2:24" ht="17" thickBot="1" x14ac:dyDescent="0.25">
      <c r="C17" s="382"/>
      <c r="D17" s="349"/>
      <c r="E17" s="349"/>
      <c r="F17" s="190"/>
      <c r="G17" s="190"/>
      <c r="H17" s="190"/>
      <c r="I17" s="190"/>
      <c r="J17" s="190"/>
      <c r="K17" s="190"/>
      <c r="L17" s="190"/>
      <c r="M17" s="190"/>
      <c r="N17" s="190"/>
      <c r="O17" s="274"/>
      <c r="P17" s="517"/>
      <c r="Q17" s="79"/>
      <c r="R17" s="79"/>
      <c r="S17" s="500"/>
      <c r="T17" s="65"/>
      <c r="U17" s="40"/>
      <c r="V17" s="40"/>
      <c r="W17" s="267"/>
    </row>
    <row r="18" spans="2:24" x14ac:dyDescent="0.2">
      <c r="B18" s="148" t="s">
        <v>1993</v>
      </c>
      <c r="C18" s="87" t="s">
        <v>1910</v>
      </c>
      <c r="D18" s="204" t="s">
        <v>348</v>
      </c>
      <c r="E18" s="204"/>
      <c r="F18" s="88" t="s">
        <v>995</v>
      </c>
      <c r="G18" s="88" t="s">
        <v>973</v>
      </c>
      <c r="H18" s="88" t="s">
        <v>996</v>
      </c>
      <c r="I18" s="88"/>
      <c r="J18" s="105"/>
      <c r="K18" s="105" t="s">
        <v>160</v>
      </c>
      <c r="L18" s="311"/>
      <c r="M18" s="298" t="s">
        <v>1999</v>
      </c>
      <c r="N18" s="88"/>
      <c r="O18" s="127" t="s">
        <v>1516</v>
      </c>
      <c r="P18" s="784">
        <v>542082678</v>
      </c>
      <c r="Q18" s="787" t="s">
        <v>689</v>
      </c>
      <c r="R18" s="789" t="s">
        <v>114</v>
      </c>
      <c r="S18" s="501"/>
      <c r="T18" s="520"/>
      <c r="U18" s="509"/>
      <c r="V18" s="509"/>
      <c r="W18" s="242"/>
    </row>
    <row r="19" spans="2:24" x14ac:dyDescent="0.2">
      <c r="B19" s="148" t="s">
        <v>1993</v>
      </c>
      <c r="C19" s="581" t="s">
        <v>1910</v>
      </c>
      <c r="D19" s="582" t="s">
        <v>352</v>
      </c>
      <c r="E19" s="582"/>
      <c r="F19" s="583" t="s">
        <v>997</v>
      </c>
      <c r="G19" s="583" t="s">
        <v>973</v>
      </c>
      <c r="H19" s="583" t="s">
        <v>998</v>
      </c>
      <c r="I19" s="298" t="s">
        <v>2000</v>
      </c>
      <c r="J19" s="584"/>
      <c r="K19" s="584" t="s">
        <v>160</v>
      </c>
      <c r="L19" s="584"/>
      <c r="M19" s="582" t="s">
        <v>761</v>
      </c>
      <c r="N19" s="583"/>
      <c r="O19" s="585" t="s">
        <v>1517</v>
      </c>
      <c r="P19" s="785"/>
      <c r="Q19" s="769"/>
      <c r="R19" s="790"/>
      <c r="S19" s="188"/>
      <c r="T19" s="65"/>
      <c r="U19" s="40"/>
      <c r="V19" s="40"/>
      <c r="W19" s="235"/>
    </row>
    <row r="20" spans="2:24" x14ac:dyDescent="0.2">
      <c r="B20" s="148" t="s">
        <v>1993</v>
      </c>
      <c r="C20" s="90" t="s">
        <v>1910</v>
      </c>
      <c r="D20" s="12" t="s">
        <v>353</v>
      </c>
      <c r="E20" s="12"/>
      <c r="F20" s="13" t="s">
        <v>999</v>
      </c>
      <c r="G20" s="13" t="s">
        <v>979</v>
      </c>
      <c r="H20" s="13" t="s">
        <v>1000</v>
      </c>
      <c r="I20" s="13"/>
      <c r="J20" s="5"/>
      <c r="K20" s="26" t="s">
        <v>160</v>
      </c>
      <c r="L20" s="26"/>
      <c r="M20" s="13" t="s">
        <v>424</v>
      </c>
      <c r="N20" s="13"/>
      <c r="O20" s="42" t="s">
        <v>1518</v>
      </c>
      <c r="P20" s="785"/>
      <c r="Q20" s="769"/>
      <c r="R20" s="790"/>
      <c r="S20" s="188"/>
      <c r="T20" s="65"/>
      <c r="U20" s="40"/>
      <c r="V20" s="40"/>
      <c r="W20" s="235"/>
    </row>
    <row r="21" spans="2:24" ht="18" thickBot="1" x14ac:dyDescent="0.25">
      <c r="B21" s="148" t="s">
        <v>1993</v>
      </c>
      <c r="C21" s="527" t="s">
        <v>1910</v>
      </c>
      <c r="D21" s="586" t="s">
        <v>1499</v>
      </c>
      <c r="E21" s="586"/>
      <c r="F21" s="587" t="s">
        <v>1001</v>
      </c>
      <c r="G21" s="588" t="s">
        <v>973</v>
      </c>
      <c r="H21" s="588" t="s">
        <v>1002</v>
      </c>
      <c r="I21" s="298" t="s">
        <v>2000</v>
      </c>
      <c r="J21" s="589"/>
      <c r="K21" s="590" t="s">
        <v>49</v>
      </c>
      <c r="L21" s="590"/>
      <c r="M21" s="586" t="s">
        <v>761</v>
      </c>
      <c r="N21" s="588"/>
      <c r="O21" s="591" t="s">
        <v>1521</v>
      </c>
      <c r="P21" s="786"/>
      <c r="Q21" s="788"/>
      <c r="R21" s="791"/>
      <c r="S21" s="502"/>
      <c r="T21" s="521"/>
      <c r="U21" s="515"/>
      <c r="V21" s="515"/>
      <c r="W21" s="239"/>
    </row>
    <row r="22" spans="2:24" ht="17" thickBot="1" x14ac:dyDescent="0.25">
      <c r="C22" s="198"/>
      <c r="D22" s="349"/>
      <c r="E22" s="349"/>
      <c r="F22" s="198"/>
      <c r="G22" s="190"/>
      <c r="H22" s="190"/>
      <c r="I22" s="190"/>
      <c r="J22" s="529"/>
      <c r="K22" s="530"/>
      <c r="L22" s="530"/>
      <c r="M22" s="190"/>
      <c r="N22" s="190"/>
      <c r="O22" s="381"/>
      <c r="P22" s="517"/>
      <c r="Q22" s="79"/>
      <c r="R22" s="79"/>
      <c r="S22" s="500"/>
      <c r="T22" s="65"/>
      <c r="U22" s="40"/>
      <c r="V22" s="40"/>
      <c r="W22" s="267"/>
    </row>
    <row r="23" spans="2:24" x14ac:dyDescent="0.2">
      <c r="B23" s="148" t="s">
        <v>1993</v>
      </c>
      <c r="C23" s="87" t="s">
        <v>1910</v>
      </c>
      <c r="D23" s="594" t="s">
        <v>1500</v>
      </c>
      <c r="E23" s="594"/>
      <c r="F23" s="595" t="s">
        <v>1003</v>
      </c>
      <c r="G23" s="595" t="s">
        <v>973</v>
      </c>
      <c r="H23" s="595" t="s">
        <v>1004</v>
      </c>
      <c r="I23" s="298" t="s">
        <v>2000</v>
      </c>
      <c r="J23" s="596"/>
      <c r="K23" s="596" t="s">
        <v>160</v>
      </c>
      <c r="L23" s="596"/>
      <c r="M23" s="594" t="s">
        <v>761</v>
      </c>
      <c r="N23" s="595"/>
      <c r="O23" s="597" t="s">
        <v>1516</v>
      </c>
      <c r="P23" s="784">
        <v>542082179</v>
      </c>
      <c r="Q23" s="787" t="s">
        <v>286</v>
      </c>
      <c r="R23" s="789" t="s">
        <v>114</v>
      </c>
      <c r="S23" s="501"/>
      <c r="T23" s="520"/>
      <c r="U23" s="509"/>
      <c r="V23" s="509"/>
      <c r="W23" s="242"/>
    </row>
    <row r="24" spans="2:24" x14ac:dyDescent="0.2">
      <c r="B24" s="148" t="s">
        <v>1993</v>
      </c>
      <c r="C24" s="90" t="s">
        <v>1916</v>
      </c>
      <c r="D24" s="582" t="s">
        <v>1501</v>
      </c>
      <c r="E24" s="582"/>
      <c r="F24" s="583" t="s">
        <v>1005</v>
      </c>
      <c r="G24" s="583" t="s">
        <v>979</v>
      </c>
      <c r="H24" s="583" t="s">
        <v>1002</v>
      </c>
      <c r="I24" s="298" t="s">
        <v>2000</v>
      </c>
      <c r="J24" s="592" t="s">
        <v>160</v>
      </c>
      <c r="K24" s="593" t="s">
        <v>49</v>
      </c>
      <c r="L24" s="593"/>
      <c r="M24" s="583" t="s">
        <v>424</v>
      </c>
      <c r="N24" s="583"/>
      <c r="O24" s="585" t="s">
        <v>1522</v>
      </c>
      <c r="P24" s="785"/>
      <c r="Q24" s="769"/>
      <c r="R24" s="790"/>
      <c r="S24" s="188"/>
      <c r="T24" s="65"/>
      <c r="U24" s="40"/>
      <c r="V24" s="40"/>
      <c r="W24" s="235" t="s">
        <v>1006</v>
      </c>
    </row>
    <row r="25" spans="2:24" x14ac:dyDescent="0.2">
      <c r="B25" s="148" t="s">
        <v>1993</v>
      </c>
      <c r="C25" s="90" t="s">
        <v>1910</v>
      </c>
      <c r="D25" s="12" t="s">
        <v>355</v>
      </c>
      <c r="E25" s="12"/>
      <c r="F25" s="13" t="s">
        <v>1007</v>
      </c>
      <c r="G25" s="13" t="s">
        <v>979</v>
      </c>
      <c r="H25" s="13" t="s">
        <v>1000</v>
      </c>
      <c r="I25" s="13"/>
      <c r="J25" s="26"/>
      <c r="K25" s="26" t="s">
        <v>160</v>
      </c>
      <c r="L25" s="26"/>
      <c r="M25" s="13" t="s">
        <v>424</v>
      </c>
      <c r="N25" s="13"/>
      <c r="O25" s="42" t="s">
        <v>1518</v>
      </c>
      <c r="P25" s="785"/>
      <c r="Q25" s="769"/>
      <c r="R25" s="790"/>
      <c r="S25" s="188"/>
      <c r="T25" s="65"/>
      <c r="U25" s="40"/>
      <c r="V25" s="40"/>
      <c r="W25" s="235"/>
    </row>
    <row r="26" spans="2:24" ht="18" thickBot="1" x14ac:dyDescent="0.25">
      <c r="B26" s="148" t="s">
        <v>1993</v>
      </c>
      <c r="C26" s="511" t="s">
        <v>1910</v>
      </c>
      <c r="D26" s="134" t="s">
        <v>356</v>
      </c>
      <c r="E26" s="134"/>
      <c r="F26" s="96" t="s">
        <v>1008</v>
      </c>
      <c r="G26" s="96" t="s">
        <v>979</v>
      </c>
      <c r="H26" s="96" t="s">
        <v>1009</v>
      </c>
      <c r="I26" s="96"/>
      <c r="J26" s="531" t="s">
        <v>160</v>
      </c>
      <c r="K26" s="107" t="s">
        <v>160</v>
      </c>
      <c r="L26" s="107"/>
      <c r="M26" s="96" t="s">
        <v>424</v>
      </c>
      <c r="N26" s="96"/>
      <c r="O26" s="345" t="s">
        <v>1523</v>
      </c>
      <c r="P26" s="786"/>
      <c r="Q26" s="788"/>
      <c r="R26" s="791"/>
      <c r="S26" s="502"/>
      <c r="T26" s="521"/>
      <c r="U26" s="515"/>
      <c r="V26" s="515"/>
      <c r="W26" s="239"/>
    </row>
    <row r="27" spans="2:24" ht="17" thickBot="1" x14ac:dyDescent="0.25">
      <c r="C27" s="198"/>
      <c r="D27" s="349"/>
      <c r="E27" s="349"/>
      <c r="F27" s="198"/>
      <c r="G27" s="190"/>
      <c r="H27" s="190"/>
      <c r="I27" s="190"/>
      <c r="J27" s="529"/>
      <c r="K27" s="530"/>
      <c r="L27" s="530"/>
      <c r="M27" s="190"/>
      <c r="N27" s="190"/>
      <c r="O27" s="381"/>
      <c r="P27" s="517"/>
      <c r="Q27" s="79"/>
      <c r="R27" s="79"/>
      <c r="S27" s="500"/>
      <c r="T27" s="65"/>
      <c r="U27" s="40"/>
      <c r="V27" s="40"/>
      <c r="W27" s="267"/>
    </row>
    <row r="28" spans="2:24" x14ac:dyDescent="0.2">
      <c r="B28" s="148" t="s">
        <v>1993</v>
      </c>
      <c r="C28" s="301"/>
      <c r="D28" s="204" t="s">
        <v>58</v>
      </c>
      <c r="E28" s="204"/>
      <c r="F28" s="204" t="s">
        <v>58</v>
      </c>
      <c r="G28" s="88" t="s">
        <v>979</v>
      </c>
      <c r="H28" s="88" t="s">
        <v>1503</v>
      </c>
      <c r="I28" s="88"/>
      <c r="J28" s="105"/>
      <c r="K28" s="532" t="s">
        <v>49</v>
      </c>
      <c r="L28" s="532"/>
      <c r="M28" s="88" t="s">
        <v>424</v>
      </c>
      <c r="N28" s="88"/>
      <c r="O28" s="127" t="s">
        <v>1516</v>
      </c>
      <c r="P28" s="784">
        <v>542082181</v>
      </c>
      <c r="Q28" s="787" t="s">
        <v>287</v>
      </c>
      <c r="R28" s="789" t="s">
        <v>114</v>
      </c>
      <c r="S28" s="501"/>
      <c r="T28" s="520"/>
      <c r="U28" s="509"/>
      <c r="V28" s="509"/>
      <c r="W28" s="242"/>
    </row>
    <row r="29" spans="2:24" x14ac:dyDescent="0.2">
      <c r="B29" s="148" t="s">
        <v>1993</v>
      </c>
      <c r="C29" s="186"/>
      <c r="D29" s="12" t="s">
        <v>359</v>
      </c>
      <c r="E29" s="12"/>
      <c r="F29" s="13" t="s">
        <v>1011</v>
      </c>
      <c r="G29" s="13" t="s">
        <v>979</v>
      </c>
      <c r="H29" s="13" t="s">
        <v>1012</v>
      </c>
      <c r="I29" s="13"/>
      <c r="J29" s="26"/>
      <c r="K29" s="26" t="s">
        <v>160</v>
      </c>
      <c r="L29" s="26"/>
      <c r="M29" s="13" t="s">
        <v>424</v>
      </c>
      <c r="N29" s="13"/>
      <c r="O29" s="42" t="s">
        <v>1517</v>
      </c>
      <c r="P29" s="785"/>
      <c r="Q29" s="769"/>
      <c r="R29" s="790"/>
      <c r="S29" s="188"/>
      <c r="T29" s="65"/>
      <c r="U29" s="40"/>
      <c r="V29" s="40"/>
      <c r="W29" s="235"/>
      <c r="X29" s="130"/>
    </row>
    <row r="30" spans="2:24" x14ac:dyDescent="0.2">
      <c r="B30" s="148" t="s">
        <v>1993</v>
      </c>
      <c r="C30" s="186"/>
      <c r="D30" s="12" t="s">
        <v>1502</v>
      </c>
      <c r="E30" s="12"/>
      <c r="F30" s="16" t="s">
        <v>1013</v>
      </c>
      <c r="G30" s="16" t="s">
        <v>979</v>
      </c>
      <c r="H30" s="16" t="s">
        <v>1010</v>
      </c>
      <c r="I30" s="16"/>
      <c r="J30" s="325" t="s">
        <v>160</v>
      </c>
      <c r="K30" s="26" t="s">
        <v>160</v>
      </c>
      <c r="L30" s="26"/>
      <c r="M30" s="13" t="s">
        <v>424</v>
      </c>
      <c r="N30" s="16"/>
      <c r="O30" s="42" t="s">
        <v>1524</v>
      </c>
      <c r="P30" s="785"/>
      <c r="Q30" s="769"/>
      <c r="R30" s="790"/>
      <c r="S30" s="188"/>
      <c r="T30" s="65"/>
      <c r="U30" s="40"/>
      <c r="V30" s="40"/>
      <c r="W30" s="235"/>
    </row>
    <row r="31" spans="2:24" s="130" customFormat="1" ht="17.5" customHeight="1" thickBot="1" x14ac:dyDescent="0.25">
      <c r="B31" s="126" t="s">
        <v>1993</v>
      </c>
      <c r="C31" s="527"/>
      <c r="D31" s="134" t="s">
        <v>1505</v>
      </c>
      <c r="E31" s="134"/>
      <c r="F31" s="96"/>
      <c r="G31" s="96" t="s">
        <v>225</v>
      </c>
      <c r="H31" s="512" t="s">
        <v>1015</v>
      </c>
      <c r="I31" s="96" t="s">
        <v>169</v>
      </c>
      <c r="J31" s="512" t="s">
        <v>160</v>
      </c>
      <c r="K31" s="512"/>
      <c r="L31" s="512"/>
      <c r="M31" s="533"/>
      <c r="N31" s="512"/>
      <c r="O31" s="533" t="s">
        <v>1521</v>
      </c>
      <c r="P31" s="786"/>
      <c r="Q31" s="788"/>
      <c r="R31" s="791"/>
      <c r="S31" s="502"/>
      <c r="T31" s="521"/>
      <c r="U31" s="515"/>
      <c r="V31" s="515"/>
      <c r="W31" s="239"/>
      <c r="X31"/>
    </row>
    <row r="32" spans="2:24" ht="17" thickBot="1" x14ac:dyDescent="0.25">
      <c r="C32" s="198"/>
      <c r="D32" s="349"/>
      <c r="E32" s="349"/>
      <c r="F32" s="190"/>
      <c r="G32" s="190"/>
      <c r="H32" s="190"/>
      <c r="I32" s="190"/>
      <c r="J32" s="530"/>
      <c r="K32" s="530"/>
      <c r="L32" s="530"/>
      <c r="M32" s="190"/>
      <c r="N32" s="190"/>
      <c r="O32" s="190"/>
      <c r="P32" s="517"/>
      <c r="Q32" s="79"/>
      <c r="R32" s="79"/>
      <c r="S32" s="500"/>
      <c r="T32" s="65"/>
      <c r="U32" s="40"/>
      <c r="V32" s="40"/>
      <c r="W32" s="267"/>
    </row>
    <row r="33" spans="2:24" x14ac:dyDescent="0.2">
      <c r="B33" s="148" t="s">
        <v>1993</v>
      </c>
      <c r="C33" s="301"/>
      <c r="D33" s="204" t="s">
        <v>1504</v>
      </c>
      <c r="E33" s="204"/>
      <c r="F33" s="204" t="s">
        <v>1504</v>
      </c>
      <c r="G33" s="88" t="s">
        <v>973</v>
      </c>
      <c r="H33" s="88" t="s">
        <v>1009</v>
      </c>
      <c r="I33" s="88"/>
      <c r="J33" s="105"/>
      <c r="K33" s="532" t="s">
        <v>49</v>
      </c>
      <c r="L33" s="532"/>
      <c r="M33" s="88" t="s">
        <v>424</v>
      </c>
      <c r="N33" s="88"/>
      <c r="O33" s="534" t="s">
        <v>1525</v>
      </c>
      <c r="P33" s="784"/>
      <c r="Q33" s="787" t="s">
        <v>1014</v>
      </c>
      <c r="R33" s="789" t="s">
        <v>447</v>
      </c>
      <c r="S33" s="501"/>
      <c r="T33" s="520"/>
      <c r="U33" s="509"/>
      <c r="V33" s="509"/>
      <c r="W33" s="242"/>
    </row>
    <row r="34" spans="2:24" x14ac:dyDescent="0.2">
      <c r="C34" s="186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4"/>
      <c r="P34" s="785"/>
      <c r="Q34" s="769"/>
      <c r="R34" s="790"/>
      <c r="S34" s="188"/>
      <c r="T34" s="65"/>
      <c r="U34" s="40"/>
      <c r="V34" s="40"/>
      <c r="W34" s="235"/>
    </row>
    <row r="35" spans="2:24" x14ac:dyDescent="0.2">
      <c r="C35" s="186"/>
      <c r="D35" s="12"/>
      <c r="E35" s="12"/>
      <c r="F35" s="13"/>
      <c r="G35" s="13"/>
      <c r="H35" s="13"/>
      <c r="I35" s="13"/>
      <c r="J35" s="26"/>
      <c r="K35" s="26"/>
      <c r="L35" s="26"/>
      <c r="M35" s="13"/>
      <c r="N35" s="13"/>
      <c r="O35" s="13"/>
      <c r="P35" s="785"/>
      <c r="Q35" s="769"/>
      <c r="R35" s="790"/>
      <c r="S35" s="188"/>
      <c r="T35" s="65"/>
      <c r="U35" s="40"/>
      <c r="V35" s="40"/>
      <c r="W35" s="235"/>
    </row>
    <row r="36" spans="2:24" ht="17" thickBot="1" x14ac:dyDescent="0.25">
      <c r="C36" s="527"/>
      <c r="D36" s="134"/>
      <c r="E36" s="134"/>
      <c r="F36" s="96"/>
      <c r="G36" s="96"/>
      <c r="H36" s="96"/>
      <c r="I36" s="96"/>
      <c r="J36" s="107"/>
      <c r="K36" s="107"/>
      <c r="L36" s="107"/>
      <c r="M36" s="96"/>
      <c r="N36" s="96"/>
      <c r="O36" s="96"/>
      <c r="P36" s="786"/>
      <c r="Q36" s="788"/>
      <c r="R36" s="791"/>
      <c r="S36" s="502"/>
      <c r="T36" s="521"/>
      <c r="U36" s="515"/>
      <c r="V36" s="515"/>
      <c r="W36" s="239"/>
    </row>
    <row r="37" spans="2:24" ht="17" thickBot="1" x14ac:dyDescent="0.25">
      <c r="C37" s="198"/>
      <c r="D37" s="349"/>
      <c r="E37" s="349"/>
      <c r="F37" s="503"/>
      <c r="G37" s="503"/>
      <c r="H37" s="503"/>
      <c r="I37" s="503"/>
      <c r="J37" s="503"/>
      <c r="K37" s="503"/>
      <c r="L37" s="503"/>
      <c r="M37" s="503"/>
      <c r="N37" s="503"/>
      <c r="O37" s="381"/>
      <c r="P37" s="517"/>
      <c r="Q37" s="79"/>
      <c r="R37" s="79"/>
      <c r="S37" s="500"/>
      <c r="T37" s="65"/>
      <c r="U37" s="40"/>
      <c r="V37" s="40"/>
      <c r="W37" s="267"/>
    </row>
    <row r="38" spans="2:24" x14ac:dyDescent="0.2">
      <c r="B38" s="148" t="s">
        <v>1993</v>
      </c>
      <c r="C38" s="301">
        <v>560</v>
      </c>
      <c r="D38" s="204" t="s">
        <v>1506</v>
      </c>
      <c r="E38" s="204"/>
      <c r="F38" s="88" t="s">
        <v>1016</v>
      </c>
      <c r="G38" s="88" t="s">
        <v>979</v>
      </c>
      <c r="H38" s="88" t="s">
        <v>1012</v>
      </c>
      <c r="I38" s="88"/>
      <c r="J38" s="185"/>
      <c r="K38" s="105" t="s">
        <v>160</v>
      </c>
      <c r="L38" s="105"/>
      <c r="M38" s="88" t="s">
        <v>424</v>
      </c>
      <c r="N38" s="88"/>
      <c r="O38" s="127" t="s">
        <v>1516</v>
      </c>
      <c r="P38" s="784">
        <v>542082178</v>
      </c>
      <c r="Q38" s="787" t="s">
        <v>1017</v>
      </c>
      <c r="R38" s="789" t="s">
        <v>114</v>
      </c>
      <c r="S38" s="501"/>
      <c r="T38" s="520"/>
      <c r="U38" s="509"/>
      <c r="V38" s="509"/>
      <c r="W38" s="242"/>
    </row>
    <row r="39" spans="2:24" x14ac:dyDescent="0.2">
      <c r="B39" s="148" t="s">
        <v>1993</v>
      </c>
      <c r="C39" s="186" t="s">
        <v>1910</v>
      </c>
      <c r="D39" s="42" t="s">
        <v>372</v>
      </c>
      <c r="E39" s="42"/>
      <c r="F39" s="13" t="s">
        <v>1018</v>
      </c>
      <c r="G39" s="13" t="s">
        <v>979</v>
      </c>
      <c r="H39" s="13" t="s">
        <v>1010</v>
      </c>
      <c r="I39" s="13"/>
      <c r="J39" s="26"/>
      <c r="K39" s="323" t="s">
        <v>49</v>
      </c>
      <c r="L39" s="323"/>
      <c r="M39" s="13" t="s">
        <v>424</v>
      </c>
      <c r="N39" s="13"/>
      <c r="O39" s="42" t="s">
        <v>1517</v>
      </c>
      <c r="P39" s="785"/>
      <c r="Q39" s="769"/>
      <c r="R39" s="790"/>
      <c r="S39" s="188"/>
      <c r="T39" s="65"/>
      <c r="U39" s="40"/>
      <c r="V39" s="40"/>
      <c r="W39" s="235"/>
    </row>
    <row r="40" spans="2:24" x14ac:dyDescent="0.2">
      <c r="B40" s="148" t="s">
        <v>1993</v>
      </c>
      <c r="C40" s="186">
        <v>573</v>
      </c>
      <c r="D40" s="12" t="s">
        <v>1507</v>
      </c>
      <c r="E40" s="12"/>
      <c r="F40" s="13" t="s">
        <v>1019</v>
      </c>
      <c r="G40" s="13" t="s">
        <v>979</v>
      </c>
      <c r="H40" s="13" t="s">
        <v>1010</v>
      </c>
      <c r="I40" s="13"/>
      <c r="J40" s="26"/>
      <c r="K40" s="26" t="s">
        <v>160</v>
      </c>
      <c r="L40" s="26"/>
      <c r="M40" s="13" t="s">
        <v>424</v>
      </c>
      <c r="N40" s="13"/>
      <c r="O40" s="42" t="s">
        <v>1518</v>
      </c>
      <c r="P40" s="785"/>
      <c r="Q40" s="769"/>
      <c r="R40" s="790"/>
      <c r="S40" s="188"/>
      <c r="T40" s="65"/>
      <c r="U40" s="40"/>
      <c r="V40" s="40"/>
      <c r="W40" s="235"/>
    </row>
    <row r="41" spans="2:24" ht="18" thickBot="1" x14ac:dyDescent="0.25">
      <c r="B41" s="148" t="s">
        <v>1993</v>
      </c>
      <c r="C41" s="527">
        <v>569</v>
      </c>
      <c r="D41" s="134" t="s">
        <v>56</v>
      </c>
      <c r="E41" s="134"/>
      <c r="F41" s="265" t="s">
        <v>1020</v>
      </c>
      <c r="G41" s="96" t="s">
        <v>973</v>
      </c>
      <c r="H41" s="96" t="s">
        <v>1508</v>
      </c>
      <c r="I41" s="96"/>
      <c r="J41" s="107" t="s">
        <v>160</v>
      </c>
      <c r="K41" s="528" t="s">
        <v>49</v>
      </c>
      <c r="L41" s="528"/>
      <c r="M41" s="96" t="s">
        <v>424</v>
      </c>
      <c r="N41" s="96"/>
      <c r="O41" s="345" t="s">
        <v>1523</v>
      </c>
      <c r="P41" s="786"/>
      <c r="Q41" s="788"/>
      <c r="R41" s="791"/>
      <c r="S41" s="502"/>
      <c r="T41" s="521"/>
      <c r="U41" s="515"/>
      <c r="V41" s="515"/>
      <c r="W41" s="239"/>
    </row>
    <row r="42" spans="2:24" ht="17" thickBot="1" x14ac:dyDescent="0.25">
      <c r="C42" s="198"/>
      <c r="D42" s="349"/>
      <c r="E42" s="349"/>
      <c r="F42" s="198"/>
      <c r="G42" s="190"/>
      <c r="H42" s="190"/>
      <c r="I42" s="190"/>
      <c r="J42" s="530"/>
      <c r="K42" s="530"/>
      <c r="L42" s="530"/>
      <c r="M42" s="190"/>
      <c r="N42" s="190"/>
      <c r="O42" s="381"/>
      <c r="P42" s="517"/>
      <c r="Q42" s="79"/>
      <c r="R42" s="79"/>
      <c r="S42" s="500"/>
      <c r="T42" s="65"/>
      <c r="U42" s="40"/>
      <c r="V42" s="40"/>
      <c r="W42" s="267"/>
      <c r="X42" s="40"/>
    </row>
    <row r="43" spans="2:24" ht="14.75" customHeight="1" x14ac:dyDescent="0.2">
      <c r="B43" s="148" t="s">
        <v>1993</v>
      </c>
      <c r="C43" s="301" t="s">
        <v>1526</v>
      </c>
      <c r="D43" s="204" t="s">
        <v>1509</v>
      </c>
      <c r="E43" s="204"/>
      <c r="F43" s="506" t="s">
        <v>1021</v>
      </c>
      <c r="G43" s="506" t="s">
        <v>973</v>
      </c>
      <c r="H43" s="506" t="s">
        <v>2035</v>
      </c>
      <c r="I43" s="764" t="s">
        <v>2006</v>
      </c>
      <c r="J43" s="496" t="s">
        <v>1986</v>
      </c>
      <c r="K43" s="496" t="s">
        <v>1987</v>
      </c>
      <c r="L43" s="496"/>
      <c r="M43" s="222" t="s">
        <v>2036</v>
      </c>
      <c r="N43" s="506"/>
      <c r="O43" s="127" t="s">
        <v>1995</v>
      </c>
      <c r="P43" s="784">
        <v>542082177</v>
      </c>
      <c r="Q43" s="787" t="s">
        <v>295</v>
      </c>
      <c r="R43" s="789" t="s">
        <v>114</v>
      </c>
      <c r="S43" s="501"/>
      <c r="T43" s="520"/>
      <c r="U43" s="509"/>
      <c r="V43" s="509"/>
      <c r="W43" s="242" t="s">
        <v>1006</v>
      </c>
      <c r="X43" s="40"/>
    </row>
    <row r="44" spans="2:24" s="40" customFormat="1" x14ac:dyDescent="0.2">
      <c r="B44" s="148" t="s">
        <v>1993</v>
      </c>
      <c r="C44" s="186" t="s">
        <v>1920</v>
      </c>
      <c r="D44" s="12" t="s">
        <v>1510</v>
      </c>
      <c r="E44" s="12"/>
      <c r="F44" s="16" t="s">
        <v>1023</v>
      </c>
      <c r="G44" s="16" t="s">
        <v>973</v>
      </c>
      <c r="H44" s="16" t="s">
        <v>2035</v>
      </c>
      <c r="I44" s="764"/>
      <c r="J44" s="496" t="s">
        <v>1582</v>
      </c>
      <c r="K44" s="496" t="s">
        <v>1582</v>
      </c>
      <c r="L44" s="496"/>
      <c r="M44" s="222" t="s">
        <v>2036</v>
      </c>
      <c r="N44" s="16"/>
      <c r="O44" s="42" t="s">
        <v>1522</v>
      </c>
      <c r="P44" s="785"/>
      <c r="Q44" s="769"/>
      <c r="R44" s="790"/>
      <c r="S44" s="188"/>
      <c r="T44" s="65"/>
      <c r="W44" s="235" t="s">
        <v>1006</v>
      </c>
    </row>
    <row r="45" spans="2:24" s="40" customFormat="1" ht="22.75" customHeight="1" x14ac:dyDescent="0.2">
      <c r="B45" s="148" t="s">
        <v>1993</v>
      </c>
      <c r="C45" s="186">
        <v>139</v>
      </c>
      <c r="D45" s="12" t="s">
        <v>1511</v>
      </c>
      <c r="E45" s="12"/>
      <c r="F45" s="16" t="s">
        <v>1024</v>
      </c>
      <c r="G45" s="16" t="s">
        <v>1025</v>
      </c>
      <c r="H45" s="16" t="s">
        <v>1022</v>
      </c>
      <c r="I45" s="603"/>
      <c r="J45" s="16"/>
      <c r="K45" s="496" t="s">
        <v>1582</v>
      </c>
      <c r="L45" s="496"/>
      <c r="M45" s="221" t="s">
        <v>767</v>
      </c>
      <c r="N45" s="16"/>
      <c r="O45" s="42" t="s">
        <v>1518</v>
      </c>
      <c r="P45" s="785"/>
      <c r="Q45" s="769"/>
      <c r="R45" s="790"/>
      <c r="S45" s="188"/>
      <c r="T45" s="65"/>
      <c r="W45" s="235"/>
    </row>
    <row r="46" spans="2:24" s="40" customFormat="1" ht="25.75" customHeight="1" thickBot="1" x14ac:dyDescent="0.25">
      <c r="B46" s="148" t="s">
        <v>1993</v>
      </c>
      <c r="C46" s="527">
        <v>132</v>
      </c>
      <c r="D46" s="134" t="s">
        <v>1512</v>
      </c>
      <c r="E46" s="134"/>
      <c r="F46" s="512" t="s">
        <v>1024</v>
      </c>
      <c r="G46" s="512" t="s">
        <v>1026</v>
      </c>
      <c r="H46" s="512"/>
      <c r="I46" s="604"/>
      <c r="J46" s="512"/>
      <c r="K46" s="496" t="s">
        <v>1582</v>
      </c>
      <c r="L46" s="639"/>
      <c r="M46" s="538" t="s">
        <v>767</v>
      </c>
      <c r="N46" s="512"/>
      <c r="O46" s="345" t="s">
        <v>1521</v>
      </c>
      <c r="P46" s="786"/>
      <c r="Q46" s="788"/>
      <c r="R46" s="791"/>
      <c r="S46" s="539"/>
      <c r="T46" s="540"/>
      <c r="U46" s="540"/>
      <c r="V46" s="540"/>
      <c r="W46" s="541"/>
    </row>
    <row r="47" spans="2:24" s="40" customFormat="1" ht="17" thickBot="1" x14ac:dyDescent="0.25">
      <c r="C47" s="516"/>
      <c r="D47" s="349"/>
      <c r="E47" s="349"/>
      <c r="F47" s="503"/>
      <c r="G47" s="503"/>
      <c r="H47" s="503"/>
      <c r="I47" s="503"/>
      <c r="J47" s="503"/>
      <c r="K47" s="503"/>
      <c r="L47" s="503"/>
      <c r="M47" s="503"/>
      <c r="N47" s="503"/>
      <c r="O47" s="516"/>
      <c r="P47" s="516"/>
      <c r="Q47" s="516"/>
      <c r="R47" s="516"/>
      <c r="S47" s="516"/>
      <c r="T47"/>
      <c r="U47"/>
      <c r="V47"/>
      <c r="W47" s="516"/>
    </row>
    <row r="48" spans="2:24" s="40" customFormat="1" x14ac:dyDescent="0.2">
      <c r="B48" s="148" t="s">
        <v>1993</v>
      </c>
      <c r="C48" s="87" t="s">
        <v>1526</v>
      </c>
      <c r="D48" s="204" t="s">
        <v>1513</v>
      </c>
      <c r="E48" s="204"/>
      <c r="F48" s="506" t="s">
        <v>1027</v>
      </c>
      <c r="G48" s="506" t="s">
        <v>979</v>
      </c>
      <c r="H48" s="506" t="s">
        <v>2035</v>
      </c>
      <c r="I48" s="764" t="s">
        <v>2006</v>
      </c>
      <c r="J48" s="496" t="s">
        <v>1582</v>
      </c>
      <c r="K48" s="496" t="s">
        <v>1582</v>
      </c>
      <c r="L48" s="496"/>
      <c r="M48" s="222" t="s">
        <v>2036</v>
      </c>
      <c r="N48" s="506"/>
      <c r="O48" s="127" t="s">
        <v>1995</v>
      </c>
      <c r="P48" s="784">
        <v>542082742</v>
      </c>
      <c r="Q48" s="787" t="s">
        <v>1028</v>
      </c>
      <c r="R48" s="789" t="s">
        <v>114</v>
      </c>
      <c r="S48" s="501"/>
      <c r="T48" s="520"/>
      <c r="U48" s="509"/>
      <c r="V48" s="509"/>
      <c r="W48" s="242" t="s">
        <v>1006</v>
      </c>
    </row>
    <row r="49" spans="2:23" s="40" customFormat="1" x14ac:dyDescent="0.2">
      <c r="B49" s="148" t="s">
        <v>1993</v>
      </c>
      <c r="C49" s="90" t="s">
        <v>1526</v>
      </c>
      <c r="D49" s="12" t="s">
        <v>1514</v>
      </c>
      <c r="E49" s="12"/>
      <c r="F49" s="16" t="s">
        <v>1029</v>
      </c>
      <c r="G49" s="16" t="s">
        <v>979</v>
      </c>
      <c r="H49" s="16" t="s">
        <v>2035</v>
      </c>
      <c r="I49" s="764"/>
      <c r="J49" s="496" t="s">
        <v>1582</v>
      </c>
      <c r="K49" s="496" t="s">
        <v>1582</v>
      </c>
      <c r="L49" s="496"/>
      <c r="M49" s="222" t="s">
        <v>2036</v>
      </c>
      <c r="N49" s="16"/>
      <c r="O49" s="42" t="s">
        <v>1996</v>
      </c>
      <c r="P49" s="785"/>
      <c r="Q49" s="769"/>
      <c r="R49" s="790"/>
      <c r="S49" s="188"/>
      <c r="T49" s="65"/>
      <c r="W49" s="235"/>
    </row>
    <row r="50" spans="2:23" s="40" customFormat="1" x14ac:dyDescent="0.2">
      <c r="B50" s="148" t="s">
        <v>1993</v>
      </c>
      <c r="C50" s="186"/>
      <c r="D50" s="12" t="s">
        <v>1515</v>
      </c>
      <c r="E50" s="12"/>
      <c r="F50" s="54" t="s">
        <v>1030</v>
      </c>
      <c r="G50" s="13" t="s">
        <v>979</v>
      </c>
      <c r="H50" s="13" t="s">
        <v>1031</v>
      </c>
      <c r="I50" s="13"/>
      <c r="J50" s="5"/>
      <c r="K50" s="323" t="s">
        <v>49</v>
      </c>
      <c r="L50" s="323"/>
      <c r="M50" s="13" t="s">
        <v>424</v>
      </c>
      <c r="N50" s="13"/>
      <c r="O50" s="42" t="s">
        <v>1518</v>
      </c>
      <c r="P50" s="785"/>
      <c r="Q50" s="769"/>
      <c r="R50" s="790"/>
      <c r="S50" s="188"/>
      <c r="T50" s="65"/>
      <c r="W50" s="235"/>
    </row>
    <row r="51" spans="2:23" s="40" customFormat="1" ht="18" thickBot="1" x14ac:dyDescent="0.25">
      <c r="B51" s="148" t="s">
        <v>1993</v>
      </c>
      <c r="C51" s="527"/>
      <c r="D51" s="134" t="s">
        <v>358</v>
      </c>
      <c r="E51" s="134"/>
      <c r="F51" s="96" t="s">
        <v>1032</v>
      </c>
      <c r="G51" s="96" t="s">
        <v>979</v>
      </c>
      <c r="H51" s="96" t="s">
        <v>1031</v>
      </c>
      <c r="I51" s="96"/>
      <c r="J51" s="107"/>
      <c r="K51" s="528" t="s">
        <v>49</v>
      </c>
      <c r="L51" s="528"/>
      <c r="M51" s="96" t="s">
        <v>424</v>
      </c>
      <c r="N51" s="96"/>
      <c r="O51" s="345" t="s">
        <v>1521</v>
      </c>
      <c r="P51" s="786"/>
      <c r="Q51" s="788"/>
      <c r="R51" s="791"/>
      <c r="S51" s="502"/>
      <c r="T51" s="521"/>
      <c r="U51" s="515"/>
      <c r="V51" s="515"/>
      <c r="W51" s="239"/>
    </row>
    <row r="52" spans="2:23" s="40" customFormat="1" ht="17" thickBot="1" x14ac:dyDescent="0.25">
      <c r="C52" s="198"/>
      <c r="D52" s="516"/>
      <c r="E52" s="516"/>
      <c r="F52" s="503"/>
      <c r="G52" s="503"/>
      <c r="H52" s="503"/>
      <c r="I52" s="503"/>
      <c r="J52" s="503"/>
      <c r="K52" s="503"/>
      <c r="L52" s="503"/>
      <c r="M52" s="503"/>
      <c r="N52" s="503"/>
      <c r="O52" s="381"/>
      <c r="P52" s="517"/>
      <c r="Q52" s="79"/>
      <c r="R52" s="79"/>
      <c r="S52" s="500"/>
      <c r="T52" s="65"/>
      <c r="W52" s="267"/>
    </row>
    <row r="53" spans="2:23" s="40" customFormat="1" x14ac:dyDescent="0.2">
      <c r="B53" s="148" t="s">
        <v>1993</v>
      </c>
      <c r="C53" s="87"/>
      <c r="D53" s="506" t="s">
        <v>373</v>
      </c>
      <c r="E53" s="506"/>
      <c r="F53" s="506"/>
      <c r="G53" s="506" t="s">
        <v>1033</v>
      </c>
      <c r="H53" s="506" t="s">
        <v>1034</v>
      </c>
      <c r="I53" s="506"/>
      <c r="J53" s="506" t="s">
        <v>2004</v>
      </c>
      <c r="K53" s="506" t="s">
        <v>160</v>
      </c>
      <c r="L53" s="506"/>
      <c r="M53" s="88" t="s">
        <v>424</v>
      </c>
      <c r="N53" s="506"/>
      <c r="O53" s="127" t="s">
        <v>1516</v>
      </c>
      <c r="P53" s="784" t="s">
        <v>1906</v>
      </c>
      <c r="Q53" s="787" t="s">
        <v>1035</v>
      </c>
      <c r="R53" s="789" t="s">
        <v>114</v>
      </c>
      <c r="S53" s="542"/>
      <c r="T53" s="543"/>
      <c r="U53" s="543"/>
      <c r="V53" s="543"/>
      <c r="W53" s="544"/>
    </row>
    <row r="54" spans="2:23" s="40" customFormat="1" x14ac:dyDescent="0.2">
      <c r="B54" s="148" t="s">
        <v>1993</v>
      </c>
      <c r="C54" s="90"/>
      <c r="D54" s="16" t="s">
        <v>375</v>
      </c>
      <c r="E54" s="16"/>
      <c r="F54" s="12"/>
      <c r="G54" s="16" t="s">
        <v>1036</v>
      </c>
      <c r="H54" s="16" t="s">
        <v>1037</v>
      </c>
      <c r="I54" s="16"/>
      <c r="J54" s="16" t="s">
        <v>2003</v>
      </c>
      <c r="K54" s="16" t="s">
        <v>160</v>
      </c>
      <c r="L54" s="16"/>
      <c r="M54" s="13" t="s">
        <v>424</v>
      </c>
      <c r="N54" s="16"/>
      <c r="O54" s="42" t="s">
        <v>1517</v>
      </c>
      <c r="P54" s="785"/>
      <c r="Q54" s="769"/>
      <c r="R54" s="790"/>
      <c r="S54" s="6"/>
      <c r="T54"/>
      <c r="U54"/>
      <c r="V54"/>
      <c r="W54" s="545"/>
    </row>
    <row r="55" spans="2:23" s="40" customFormat="1" x14ac:dyDescent="0.2">
      <c r="B55" s="148" t="s">
        <v>1993</v>
      </c>
      <c r="C55" s="90"/>
      <c r="D55" s="16" t="s">
        <v>374</v>
      </c>
      <c r="E55" s="16"/>
      <c r="F55" s="12"/>
      <c r="G55" s="16" t="s">
        <v>1038</v>
      </c>
      <c r="H55" s="16" t="s">
        <v>1043</v>
      </c>
      <c r="J55" s="16" t="s">
        <v>2002</v>
      </c>
      <c r="K55" s="16" t="s">
        <v>160</v>
      </c>
      <c r="L55" s="16"/>
      <c r="M55" s="13" t="s">
        <v>424</v>
      </c>
      <c r="N55" s="16"/>
      <c r="O55" s="165" t="s">
        <v>1521</v>
      </c>
      <c r="P55" s="785"/>
      <c r="Q55" s="769"/>
      <c r="R55" s="790"/>
      <c r="S55" s="6"/>
      <c r="T55"/>
      <c r="U55"/>
      <c r="V55"/>
      <c r="W55" s="545"/>
    </row>
    <row r="56" spans="2:23" s="40" customFormat="1" ht="18" thickBot="1" x14ac:dyDescent="0.25">
      <c r="B56" s="148" t="s">
        <v>1993</v>
      </c>
      <c r="C56" s="482"/>
      <c r="D56" s="512" t="s">
        <v>1045</v>
      </c>
      <c r="E56" s="512"/>
      <c r="F56" s="134"/>
      <c r="G56" s="512" t="s">
        <v>1040</v>
      </c>
      <c r="H56" s="512" t="s">
        <v>1047</v>
      </c>
      <c r="I56" s="512"/>
      <c r="J56" s="512" t="s">
        <v>2001</v>
      </c>
      <c r="K56" s="512" t="s">
        <v>160</v>
      </c>
      <c r="L56" s="512"/>
      <c r="M56" s="96" t="s">
        <v>424</v>
      </c>
      <c r="N56" s="512"/>
      <c r="O56" s="345" t="s">
        <v>1518</v>
      </c>
      <c r="P56" s="786"/>
      <c r="Q56" s="788"/>
      <c r="R56" s="791"/>
      <c r="S56" s="539"/>
      <c r="T56" s="540"/>
      <c r="U56" s="540"/>
      <c r="V56" s="540"/>
      <c r="W56" s="541"/>
    </row>
    <row r="57" spans="2:23" s="40" customFormat="1" ht="17" thickBot="1" x14ac:dyDescent="0.25">
      <c r="C57" s="190"/>
      <c r="D57" s="503"/>
      <c r="E57" s="503"/>
      <c r="F57" s="503"/>
      <c r="G57" s="503"/>
      <c r="H57" s="503"/>
      <c r="I57" s="503"/>
      <c r="J57" s="503"/>
      <c r="K57" s="503"/>
      <c r="L57" s="503"/>
      <c r="M57" s="503"/>
      <c r="N57" s="503"/>
      <c r="O57" s="516"/>
      <c r="P57" s="516"/>
      <c r="Q57" s="516"/>
      <c r="R57" s="516"/>
      <c r="S57" s="516"/>
      <c r="T57"/>
      <c r="U57"/>
      <c r="V57"/>
      <c r="W57" s="516"/>
    </row>
    <row r="58" spans="2:23" s="40" customFormat="1" x14ac:dyDescent="0.2">
      <c r="B58" s="148" t="s">
        <v>1993</v>
      </c>
      <c r="C58" s="546"/>
      <c r="D58" s="506" t="s">
        <v>379</v>
      </c>
      <c r="E58" s="506"/>
      <c r="F58" s="204"/>
      <c r="G58" s="506" t="s">
        <v>1042</v>
      </c>
      <c r="H58" s="506" t="s">
        <v>1039</v>
      </c>
      <c r="I58" s="506"/>
      <c r="J58" s="506"/>
      <c r="K58" s="506" t="s">
        <v>160</v>
      </c>
      <c r="L58" s="506"/>
      <c r="M58" s="88" t="s">
        <v>424</v>
      </c>
      <c r="N58" s="506"/>
      <c r="O58" s="127" t="s">
        <v>1516</v>
      </c>
      <c r="P58" s="784" t="s">
        <v>1906</v>
      </c>
      <c r="Q58" s="787" t="s">
        <v>1044</v>
      </c>
      <c r="R58" s="789" t="s">
        <v>114</v>
      </c>
      <c r="S58" s="542"/>
      <c r="T58" s="543"/>
      <c r="U58" s="543"/>
      <c r="V58" s="543"/>
      <c r="W58" s="544"/>
    </row>
    <row r="59" spans="2:23" s="40" customFormat="1" x14ac:dyDescent="0.2">
      <c r="B59" s="148" t="s">
        <v>1993</v>
      </c>
      <c r="C59" s="547"/>
      <c r="D59" s="16" t="s">
        <v>381</v>
      </c>
      <c r="E59" s="16"/>
      <c r="F59" s="12"/>
      <c r="G59" s="16" t="s">
        <v>1046</v>
      </c>
      <c r="H59" s="16" t="s">
        <v>1041</v>
      </c>
      <c r="I59" s="16"/>
      <c r="J59" s="16"/>
      <c r="K59" s="16" t="s">
        <v>160</v>
      </c>
      <c r="L59" s="16"/>
      <c r="M59" s="13" t="s">
        <v>424</v>
      </c>
      <c r="N59" s="16"/>
      <c r="O59" s="42" t="s">
        <v>1517</v>
      </c>
      <c r="P59" s="785"/>
      <c r="Q59" s="769"/>
      <c r="R59" s="790"/>
      <c r="S59" s="6"/>
      <c r="T59"/>
      <c r="U59"/>
      <c r="V59"/>
      <c r="W59" s="545"/>
    </row>
    <row r="60" spans="2:23" s="40" customFormat="1" x14ac:dyDescent="0.2">
      <c r="B60" s="148" t="s">
        <v>1993</v>
      </c>
      <c r="C60" s="547"/>
      <c r="D60" s="16" t="s">
        <v>1048</v>
      </c>
      <c r="E60" s="16"/>
      <c r="F60" s="12"/>
      <c r="G60" s="16" t="s">
        <v>1049</v>
      </c>
      <c r="H60" s="16" t="s">
        <v>1050</v>
      </c>
      <c r="I60" s="16"/>
      <c r="J60" s="16"/>
      <c r="K60" s="16" t="s">
        <v>160</v>
      </c>
      <c r="L60" s="16"/>
      <c r="M60" s="13" t="s">
        <v>424</v>
      </c>
      <c r="N60" s="16"/>
      <c r="O60" s="42" t="s">
        <v>1518</v>
      </c>
      <c r="P60" s="785"/>
      <c r="Q60" s="769"/>
      <c r="R60" s="790"/>
      <c r="S60" s="6"/>
      <c r="T60"/>
      <c r="U60"/>
      <c r="V60"/>
      <c r="W60" s="545"/>
    </row>
    <row r="61" spans="2:23" s="40" customFormat="1" ht="18" thickBot="1" x14ac:dyDescent="0.25">
      <c r="B61" s="148" t="s">
        <v>1993</v>
      </c>
      <c r="C61" s="537"/>
      <c r="D61" s="512" t="s">
        <v>382</v>
      </c>
      <c r="E61" s="512"/>
      <c r="F61" s="134"/>
      <c r="G61" s="512" t="s">
        <v>1051</v>
      </c>
      <c r="H61" s="512" t="s">
        <v>1052</v>
      </c>
      <c r="I61" s="512"/>
      <c r="J61" s="512"/>
      <c r="K61" s="512" t="s">
        <v>160</v>
      </c>
      <c r="L61" s="512"/>
      <c r="M61" s="96" t="s">
        <v>424</v>
      </c>
      <c r="N61" s="512"/>
      <c r="O61" s="345" t="s">
        <v>1521</v>
      </c>
      <c r="P61" s="786"/>
      <c r="Q61" s="788"/>
      <c r="R61" s="791"/>
      <c r="S61" s="539"/>
      <c r="T61" s="540"/>
      <c r="U61" s="540"/>
      <c r="V61" s="540"/>
      <c r="W61" s="541"/>
    </row>
    <row r="62" spans="2:23" s="40" customFormat="1" x14ac:dyDescent="0.2">
      <c r="B62" s="148"/>
      <c r="C62"/>
      <c r="D62" s="14"/>
      <c r="E62" s="14"/>
      <c r="F62" s="130"/>
      <c r="G62" s="14"/>
      <c r="H62" s="14"/>
      <c r="I62" s="14"/>
      <c r="J62" s="14"/>
      <c r="K62" s="14"/>
      <c r="L62" s="14"/>
      <c r="M62" s="21"/>
      <c r="N62" s="14"/>
      <c r="O62" s="65"/>
      <c r="P62" s="179"/>
      <c r="Q62" s="220"/>
      <c r="R62" s="20"/>
      <c r="S62"/>
      <c r="T62"/>
      <c r="U62"/>
      <c r="V62"/>
      <c r="W62"/>
    </row>
    <row r="64" spans="2:23" ht="17" thickBot="1" x14ac:dyDescent="0.25"/>
    <row r="65" spans="2:23" s="40" customFormat="1" ht="15.5" customHeight="1" x14ac:dyDescent="0.2">
      <c r="C65" s="393" t="s">
        <v>469</v>
      </c>
      <c r="D65" s="394"/>
      <c r="E65" s="394"/>
      <c r="F65" s="394"/>
      <c r="G65" s="394"/>
      <c r="H65" s="394"/>
      <c r="I65" s="394"/>
      <c r="J65" s="394"/>
      <c r="K65" s="394"/>
      <c r="L65" s="394"/>
      <c r="M65" s="412"/>
      <c r="N65" s="394"/>
      <c r="O65" s="394"/>
      <c r="P65" s="394"/>
      <c r="Q65" s="394"/>
      <c r="R65" s="412"/>
      <c r="S65" s="412"/>
      <c r="T65" s="413"/>
      <c r="U65" s="39"/>
      <c r="V65" s="39"/>
      <c r="W65" s="39"/>
    </row>
    <row r="66" spans="2:23" s="40" customFormat="1" ht="15.5" customHeight="1" thickBot="1" x14ac:dyDescent="0.25">
      <c r="C66" s="397"/>
      <c r="D66" s="398"/>
      <c r="E66" s="398"/>
      <c r="F66" s="398"/>
      <c r="G66" s="398"/>
      <c r="H66" s="398"/>
      <c r="I66" s="398"/>
      <c r="J66" s="398"/>
      <c r="K66" s="398"/>
      <c r="L66" s="398"/>
      <c r="M66" s="414"/>
      <c r="N66" s="398"/>
      <c r="O66" s="398"/>
      <c r="P66" s="398"/>
      <c r="Q66" s="398"/>
      <c r="R66" s="414"/>
      <c r="S66" s="414"/>
      <c r="T66" s="415"/>
      <c r="U66" s="39"/>
      <c r="V66" s="39"/>
      <c r="W66" s="39"/>
    </row>
    <row r="67" spans="2:23" s="40" customFormat="1" ht="15.5" customHeight="1" x14ac:dyDescent="0.2">
      <c r="B67" s="844"/>
      <c r="C67" s="408"/>
      <c r="D67" s="409" t="s">
        <v>250</v>
      </c>
      <c r="E67" s="409"/>
      <c r="F67" s="109"/>
      <c r="G67" s="109"/>
      <c r="H67" s="109" t="s">
        <v>445</v>
      </c>
      <c r="I67" s="109"/>
      <c r="J67" s="410" t="s">
        <v>444</v>
      </c>
      <c r="K67" s="411"/>
      <c r="L67" s="411"/>
      <c r="M67" s="411"/>
      <c r="N67" s="109"/>
      <c r="O67" s="410" t="s">
        <v>444</v>
      </c>
      <c r="P67" s="410"/>
      <c r="Q67" s="879" t="s">
        <v>446</v>
      </c>
      <c r="R67" s="753" t="s">
        <v>447</v>
      </c>
      <c r="S67" s="829" t="s">
        <v>611</v>
      </c>
      <c r="T67" s="811"/>
    </row>
    <row r="68" spans="2:23" s="40" customFormat="1" ht="15.5" customHeight="1" x14ac:dyDescent="0.2">
      <c r="B68" s="845"/>
      <c r="C68" s="186" t="s">
        <v>953</v>
      </c>
      <c r="D68" s="210" t="s">
        <v>252</v>
      </c>
      <c r="E68" s="210"/>
      <c r="F68" s="13"/>
      <c r="G68" s="13"/>
      <c r="H68" s="13" t="s">
        <v>445</v>
      </c>
      <c r="I68" s="13"/>
      <c r="J68" s="13" t="s">
        <v>160</v>
      </c>
      <c r="K68" s="13" t="s">
        <v>160</v>
      </c>
      <c r="L68" s="13"/>
      <c r="M68" s="13"/>
      <c r="N68" s="91"/>
      <c r="O68" s="91" t="s">
        <v>630</v>
      </c>
      <c r="P68" s="92">
        <v>788891980</v>
      </c>
      <c r="Q68" s="864"/>
      <c r="R68" s="754"/>
      <c r="S68" s="866"/>
      <c r="T68" s="811"/>
    </row>
    <row r="69" spans="2:23" s="40" customFormat="1" ht="15.5" customHeight="1" x14ac:dyDescent="0.2">
      <c r="B69" s="845"/>
      <c r="C69" s="90" t="s">
        <v>953</v>
      </c>
      <c r="D69" s="183" t="s">
        <v>254</v>
      </c>
      <c r="E69" s="183"/>
      <c r="F69" s="13"/>
      <c r="G69" s="13"/>
      <c r="H69" s="13" t="s">
        <v>445</v>
      </c>
      <c r="I69" s="13"/>
      <c r="J69" s="13" t="s">
        <v>160</v>
      </c>
      <c r="K69" s="13" t="s">
        <v>160</v>
      </c>
      <c r="L69" s="13"/>
      <c r="M69" s="13"/>
      <c r="N69" s="91"/>
      <c r="O69" s="91" t="s">
        <v>957</v>
      </c>
      <c r="P69" s="875">
        <v>542082683</v>
      </c>
      <c r="Q69" s="864"/>
      <c r="R69" s="752" t="s">
        <v>114</v>
      </c>
      <c r="S69" s="867" t="s">
        <v>610</v>
      </c>
      <c r="T69" s="811"/>
    </row>
    <row r="70" spans="2:23" s="40" customFormat="1" ht="16.25" customHeight="1" thickBot="1" x14ac:dyDescent="0.25">
      <c r="B70" s="845"/>
      <c r="C70" s="94" t="s">
        <v>953</v>
      </c>
      <c r="D70" s="184" t="s">
        <v>449</v>
      </c>
      <c r="E70" s="212"/>
      <c r="F70" s="95"/>
      <c r="G70" s="96"/>
      <c r="H70" s="96" t="s">
        <v>450</v>
      </c>
      <c r="I70" s="96"/>
      <c r="J70" s="96" t="s">
        <v>160</v>
      </c>
      <c r="K70" s="96" t="s">
        <v>160</v>
      </c>
      <c r="L70" s="96"/>
      <c r="M70" s="96"/>
      <c r="N70" s="96"/>
      <c r="O70" s="96" t="s">
        <v>631</v>
      </c>
      <c r="P70" s="876"/>
      <c r="Q70" s="865"/>
      <c r="R70" s="827"/>
      <c r="S70" s="830"/>
      <c r="T70" s="812"/>
    </row>
    <row r="71" spans="2:23" s="40" customFormat="1" ht="16.25" customHeight="1" thickBot="1" x14ac:dyDescent="0.25">
      <c r="B71" s="845"/>
      <c r="C71" s="46"/>
      <c r="D71" s="13"/>
      <c r="E71" s="13"/>
      <c r="F71" s="13"/>
      <c r="G71" s="13"/>
      <c r="H71" s="13"/>
      <c r="I71" s="196"/>
      <c r="J71" s="196"/>
      <c r="K71" s="13"/>
      <c r="L71" s="13"/>
      <c r="M71" s="13"/>
      <c r="N71" s="91"/>
      <c r="O71" s="98"/>
      <c r="P71" s="99"/>
      <c r="Q71" s="13"/>
      <c r="R71" s="13"/>
      <c r="S71" s="13"/>
      <c r="T71" s="13"/>
    </row>
    <row r="72" spans="2:23" s="40" customFormat="1" ht="16.25" customHeight="1" x14ac:dyDescent="0.2">
      <c r="B72" s="845"/>
      <c r="C72" s="301" t="s">
        <v>953</v>
      </c>
      <c r="D72" s="182" t="s">
        <v>451</v>
      </c>
      <c r="E72" s="182"/>
      <c r="F72" s="88"/>
      <c r="G72" s="304"/>
      <c r="H72" s="88" t="s">
        <v>960</v>
      </c>
      <c r="I72" s="304"/>
      <c r="J72" s="308" t="s">
        <v>452</v>
      </c>
      <c r="K72" s="310" t="s">
        <v>160</v>
      </c>
      <c r="L72" s="310"/>
      <c r="M72" s="88"/>
      <c r="N72" s="304"/>
      <c r="O72" s="314" t="s">
        <v>259</v>
      </c>
      <c r="P72" s="877">
        <v>788891574</v>
      </c>
      <c r="Q72" s="863" t="s">
        <v>257</v>
      </c>
      <c r="R72" s="789" t="s">
        <v>454</v>
      </c>
      <c r="S72" s="828" t="s">
        <v>611</v>
      </c>
      <c r="T72" s="868" t="s">
        <v>684</v>
      </c>
    </row>
    <row r="73" spans="2:23" s="40" customFormat="1" ht="15.5" customHeight="1" x14ac:dyDescent="0.2">
      <c r="B73" s="845"/>
      <c r="C73" s="186" t="s">
        <v>953</v>
      </c>
      <c r="D73" s="210" t="s">
        <v>455</v>
      </c>
      <c r="E73" s="210"/>
      <c r="F73" s="13"/>
      <c r="G73" s="13"/>
      <c r="H73" s="13" t="s">
        <v>959</v>
      </c>
      <c r="I73" s="109"/>
      <c r="J73" s="311" t="s">
        <v>160</v>
      </c>
      <c r="K73" s="309" t="s">
        <v>452</v>
      </c>
      <c r="L73" s="309"/>
      <c r="M73" s="13"/>
      <c r="N73" s="91"/>
      <c r="O73" s="226" t="s">
        <v>190</v>
      </c>
      <c r="P73" s="878"/>
      <c r="Q73" s="864"/>
      <c r="R73" s="790"/>
      <c r="S73" s="829"/>
      <c r="T73" s="869"/>
    </row>
    <row r="74" spans="2:23" s="40" customFormat="1" ht="15.5" customHeight="1" x14ac:dyDescent="0.2">
      <c r="B74" s="845"/>
      <c r="C74" s="302" t="s">
        <v>954</v>
      </c>
      <c r="D74" s="183" t="s">
        <v>457</v>
      </c>
      <c r="E74" s="183"/>
      <c r="F74" s="13"/>
      <c r="G74" s="13"/>
      <c r="H74" s="13" t="s">
        <v>959</v>
      </c>
      <c r="I74" s="196"/>
      <c r="J74" s="309" t="s">
        <v>452</v>
      </c>
      <c r="K74" s="106" t="s">
        <v>160</v>
      </c>
      <c r="L74" s="106"/>
      <c r="M74" s="13"/>
      <c r="N74" s="91"/>
      <c r="O74" s="91" t="s">
        <v>190</v>
      </c>
      <c r="P74" s="26">
        <v>788891562</v>
      </c>
      <c r="Q74" s="864"/>
      <c r="R74" s="790"/>
      <c r="S74" s="829"/>
      <c r="T74" s="869"/>
    </row>
    <row r="75" spans="2:23" s="40" customFormat="1" ht="16.25" customHeight="1" thickBot="1" x14ac:dyDescent="0.25">
      <c r="B75" s="845"/>
      <c r="C75" s="94" t="s">
        <v>953</v>
      </c>
      <c r="D75" s="184" t="s">
        <v>458</v>
      </c>
      <c r="E75" s="212"/>
      <c r="F75" s="95"/>
      <c r="G75" s="96"/>
      <c r="H75" s="96" t="s">
        <v>958</v>
      </c>
      <c r="I75" s="96"/>
      <c r="J75" s="107"/>
      <c r="K75" s="107" t="s">
        <v>160</v>
      </c>
      <c r="L75" s="107"/>
      <c r="M75" s="96"/>
      <c r="N75" s="95"/>
      <c r="O75" s="104" t="s">
        <v>259</v>
      </c>
      <c r="P75" s="108"/>
      <c r="Q75" s="865"/>
      <c r="R75" s="791"/>
      <c r="S75" s="830"/>
      <c r="T75" s="871"/>
    </row>
    <row r="76" spans="2:23" s="40" customFormat="1" ht="16.25" customHeight="1" thickBot="1" x14ac:dyDescent="0.25">
      <c r="B76" s="845"/>
      <c r="C76" s="46"/>
      <c r="D76" s="13"/>
      <c r="E76" s="317"/>
      <c r="F76" s="95"/>
      <c r="G76" s="96"/>
      <c r="H76" s="13"/>
      <c r="I76" s="190"/>
      <c r="J76" s="109"/>
      <c r="K76" s="13"/>
      <c r="L76" s="13"/>
      <c r="M76" s="13"/>
      <c r="N76" s="91"/>
      <c r="O76" s="98"/>
      <c r="P76" s="21"/>
      <c r="Q76" s="21"/>
      <c r="R76" s="13"/>
      <c r="S76" s="13"/>
      <c r="T76" s="13"/>
    </row>
    <row r="77" spans="2:23" s="40" customFormat="1" ht="16.25" customHeight="1" x14ac:dyDescent="0.2">
      <c r="B77" s="845"/>
      <c r="C77" s="301" t="s">
        <v>962</v>
      </c>
      <c r="D77" s="182" t="s">
        <v>255</v>
      </c>
      <c r="E77" s="182"/>
      <c r="F77" s="88"/>
      <c r="G77" s="88"/>
      <c r="H77" s="88" t="s">
        <v>445</v>
      </c>
      <c r="I77" s="88"/>
      <c r="J77" s="308" t="s">
        <v>452</v>
      </c>
      <c r="K77" s="105" t="s">
        <v>160</v>
      </c>
      <c r="L77" s="105"/>
      <c r="M77" s="88"/>
      <c r="N77" s="304"/>
      <c r="O77" s="110" t="s">
        <v>453</v>
      </c>
      <c r="P77" s="877">
        <v>788891956</v>
      </c>
      <c r="Q77" s="863" t="s">
        <v>265</v>
      </c>
      <c r="R77" s="789" t="s">
        <v>459</v>
      </c>
      <c r="S77" s="828" t="s">
        <v>611</v>
      </c>
      <c r="T77" s="868" t="s">
        <v>685</v>
      </c>
    </row>
    <row r="78" spans="2:23" s="40" customFormat="1" ht="15.5" customHeight="1" x14ac:dyDescent="0.2">
      <c r="B78" s="845"/>
      <c r="C78" s="186" t="s">
        <v>962</v>
      </c>
      <c r="D78" s="210" t="s">
        <v>256</v>
      </c>
      <c r="E78" s="210"/>
      <c r="F78" s="13"/>
      <c r="G78" s="13"/>
      <c r="H78" s="13" t="s">
        <v>460</v>
      </c>
      <c r="I78" s="196"/>
      <c r="J78" s="309" t="s">
        <v>452</v>
      </c>
      <c r="K78" s="26" t="s">
        <v>160</v>
      </c>
      <c r="L78" s="26"/>
      <c r="M78" s="13"/>
      <c r="N78" s="91"/>
      <c r="O78" s="102" t="s">
        <v>190</v>
      </c>
      <c r="P78" s="878"/>
      <c r="Q78" s="864"/>
      <c r="R78" s="790"/>
      <c r="S78" s="829"/>
      <c r="T78" s="869"/>
    </row>
    <row r="79" spans="2:23" s="40" customFormat="1" ht="15.5" customHeight="1" x14ac:dyDescent="0.2">
      <c r="B79" s="845"/>
      <c r="C79" s="90" t="s">
        <v>953</v>
      </c>
      <c r="D79" s="183" t="s">
        <v>258</v>
      </c>
      <c r="E79" s="183"/>
      <c r="F79" s="13"/>
      <c r="G79" s="13"/>
      <c r="H79" s="13" t="s">
        <v>461</v>
      </c>
      <c r="I79" s="13"/>
      <c r="J79" s="26" t="s">
        <v>452</v>
      </c>
      <c r="K79" s="106" t="s">
        <v>160</v>
      </c>
      <c r="L79" s="106"/>
      <c r="M79" s="13"/>
      <c r="N79" s="91"/>
      <c r="O79" s="91" t="s">
        <v>259</v>
      </c>
      <c r="P79" s="26">
        <v>788897966</v>
      </c>
      <c r="Q79" s="864"/>
      <c r="R79" s="790"/>
      <c r="S79" s="829"/>
      <c r="T79" s="869"/>
    </row>
    <row r="80" spans="2:23" s="40" customFormat="1" ht="16.25" customHeight="1" thickBot="1" x14ac:dyDescent="0.25">
      <c r="B80" s="845"/>
      <c r="C80" s="94" t="s">
        <v>953</v>
      </c>
      <c r="D80" s="184" t="s">
        <v>260</v>
      </c>
      <c r="E80" s="212"/>
      <c r="F80" s="95"/>
      <c r="G80" s="96"/>
      <c r="H80" s="96" t="s">
        <v>461</v>
      </c>
      <c r="I80" s="96"/>
      <c r="J80" s="107" t="s">
        <v>160</v>
      </c>
      <c r="K80" s="107" t="s">
        <v>160</v>
      </c>
      <c r="L80" s="107"/>
      <c r="M80" s="96"/>
      <c r="N80" s="95"/>
      <c r="O80" s="104" t="s">
        <v>304</v>
      </c>
      <c r="P80" s="108">
        <v>788891971</v>
      </c>
      <c r="Q80" s="865"/>
      <c r="R80" s="791"/>
      <c r="S80" s="830"/>
      <c r="T80" s="871"/>
    </row>
    <row r="81" spans="2:23" s="40" customFormat="1" ht="16.25" customHeight="1" thickBot="1" x14ac:dyDescent="0.25">
      <c r="B81" s="845"/>
      <c r="C81" s="46"/>
      <c r="D81" s="13"/>
      <c r="E81" s="21"/>
      <c r="F81" s="21"/>
      <c r="G81" s="13"/>
      <c r="H81" s="13"/>
      <c r="I81" s="13"/>
      <c r="J81" s="13"/>
      <c r="K81" s="13"/>
      <c r="L81" s="13"/>
      <c r="M81" s="13"/>
      <c r="N81" s="91"/>
      <c r="O81" s="98"/>
      <c r="P81" s="21"/>
      <c r="Q81" s="21"/>
      <c r="R81" s="13"/>
      <c r="S81" s="13"/>
      <c r="T81" s="13"/>
    </row>
    <row r="82" spans="2:23" s="40" customFormat="1" ht="15.5" customHeight="1" x14ac:dyDescent="0.2">
      <c r="B82" s="845"/>
      <c r="C82" s="301" t="s">
        <v>953</v>
      </c>
      <c r="D82" s="182" t="s">
        <v>261</v>
      </c>
      <c r="E82" s="182"/>
      <c r="F82" s="88"/>
      <c r="G82" s="88"/>
      <c r="H82" s="88" t="s">
        <v>461</v>
      </c>
      <c r="I82" s="88"/>
      <c r="J82" s="308" t="s">
        <v>452</v>
      </c>
      <c r="K82" s="105" t="s">
        <v>160</v>
      </c>
      <c r="L82" s="105"/>
      <c r="M82" s="88"/>
      <c r="N82" s="304"/>
      <c r="O82" s="110" t="s">
        <v>259</v>
      </c>
      <c r="P82" s="877">
        <v>788897962</v>
      </c>
      <c r="Q82" s="863" t="s">
        <v>271</v>
      </c>
      <c r="R82" s="789" t="s">
        <v>459</v>
      </c>
      <c r="S82" s="828" t="s">
        <v>611</v>
      </c>
      <c r="T82" s="868" t="s">
        <v>686</v>
      </c>
    </row>
    <row r="83" spans="2:23" s="40" customFormat="1" ht="15.5" customHeight="1" x14ac:dyDescent="0.2">
      <c r="B83" s="845"/>
      <c r="C83" s="186" t="s">
        <v>953</v>
      </c>
      <c r="D83" s="210" t="s">
        <v>263</v>
      </c>
      <c r="E83" s="210"/>
      <c r="F83" s="13"/>
      <c r="G83" s="13"/>
      <c r="H83" s="13" t="s">
        <v>462</v>
      </c>
      <c r="I83" s="196"/>
      <c r="J83" s="309" t="s">
        <v>452</v>
      </c>
      <c r="K83" s="26" t="s">
        <v>160</v>
      </c>
      <c r="L83" s="26"/>
      <c r="M83" s="13"/>
      <c r="N83" s="91"/>
      <c r="O83" s="226" t="s">
        <v>190</v>
      </c>
      <c r="P83" s="878"/>
      <c r="Q83" s="864"/>
      <c r="R83" s="790"/>
      <c r="S83" s="829"/>
      <c r="T83" s="869"/>
    </row>
    <row r="84" spans="2:23" s="40" customFormat="1" ht="15.5" customHeight="1" x14ac:dyDescent="0.2">
      <c r="B84" s="845"/>
      <c r="C84" s="90" t="s">
        <v>953</v>
      </c>
      <c r="D84" s="183" t="s">
        <v>264</v>
      </c>
      <c r="E84" s="183"/>
      <c r="F84" s="13"/>
      <c r="G84" s="13"/>
      <c r="H84" s="13" t="s">
        <v>461</v>
      </c>
      <c r="I84" s="13"/>
      <c r="J84" s="26" t="s">
        <v>160</v>
      </c>
      <c r="K84" s="106" t="s">
        <v>160</v>
      </c>
      <c r="L84" s="106"/>
      <c r="M84" s="13"/>
      <c r="N84" s="91"/>
      <c r="O84" s="91" t="s">
        <v>304</v>
      </c>
      <c r="P84" s="26">
        <v>788897968</v>
      </c>
      <c r="Q84" s="864"/>
      <c r="R84" s="790"/>
      <c r="S84" s="829"/>
      <c r="T84" s="869"/>
    </row>
    <row r="85" spans="2:23" s="40" customFormat="1" ht="16.25" customHeight="1" thickBot="1" x14ac:dyDescent="0.25">
      <c r="B85" s="845"/>
      <c r="C85" s="94" t="s">
        <v>953</v>
      </c>
      <c r="D85" s="184" t="s">
        <v>266</v>
      </c>
      <c r="E85" s="212"/>
      <c r="F85" s="95"/>
      <c r="G85" s="96"/>
      <c r="H85" s="96" t="s">
        <v>461</v>
      </c>
      <c r="I85" s="96"/>
      <c r="J85" s="107" t="s">
        <v>160</v>
      </c>
      <c r="K85" s="107" t="s">
        <v>160</v>
      </c>
      <c r="L85" s="107"/>
      <c r="M85" s="96"/>
      <c r="N85" s="95"/>
      <c r="O85" s="104" t="s">
        <v>304</v>
      </c>
      <c r="P85" s="108">
        <v>788892008</v>
      </c>
      <c r="Q85" s="865"/>
      <c r="R85" s="791"/>
      <c r="S85" s="830"/>
      <c r="T85" s="871"/>
    </row>
    <row r="86" spans="2:23" s="40" customFormat="1" ht="16.25" customHeight="1" thickBot="1" x14ac:dyDescent="0.25">
      <c r="B86" s="845"/>
      <c r="C86" s="299"/>
      <c r="D86" s="196"/>
      <c r="E86" s="21"/>
      <c r="F86" s="21"/>
      <c r="G86" s="196"/>
      <c r="H86" s="300"/>
      <c r="I86" s="196"/>
      <c r="J86" s="196"/>
      <c r="K86" s="196"/>
      <c r="L86" s="196"/>
      <c r="M86" s="196"/>
      <c r="N86" s="315"/>
      <c r="O86" s="197"/>
      <c r="P86" s="21"/>
      <c r="Q86" s="21"/>
      <c r="R86" s="196"/>
      <c r="S86" s="196"/>
      <c r="T86" s="196"/>
    </row>
    <row r="87" spans="2:23" s="40" customFormat="1" ht="15.5" customHeight="1" x14ac:dyDescent="0.2">
      <c r="B87" s="845"/>
      <c r="C87" s="301" t="s">
        <v>953</v>
      </c>
      <c r="D87" s="182" t="s">
        <v>267</v>
      </c>
      <c r="E87" s="182"/>
      <c r="F87" s="88" t="s">
        <v>1975</v>
      </c>
      <c r="G87" s="88"/>
      <c r="H87" s="88" t="s">
        <v>463</v>
      </c>
      <c r="I87" s="88"/>
      <c r="J87" s="308" t="s">
        <v>452</v>
      </c>
      <c r="K87" s="105" t="s">
        <v>160</v>
      </c>
      <c r="L87" s="105"/>
      <c r="M87" s="574" t="s">
        <v>1973</v>
      </c>
      <c r="N87" s="304"/>
      <c r="O87" s="110" t="s">
        <v>1974</v>
      </c>
      <c r="P87" s="877">
        <v>788897992</v>
      </c>
      <c r="Q87" s="863" t="s">
        <v>464</v>
      </c>
      <c r="R87" s="789" t="s">
        <v>459</v>
      </c>
      <c r="S87" s="828" t="s">
        <v>611</v>
      </c>
      <c r="T87" s="868" t="s">
        <v>687</v>
      </c>
    </row>
    <row r="88" spans="2:23" s="40" customFormat="1" ht="15.5" customHeight="1" x14ac:dyDescent="0.2">
      <c r="B88" s="845"/>
      <c r="C88" s="186" t="s">
        <v>963</v>
      </c>
      <c r="D88" s="210" t="s">
        <v>268</v>
      </c>
      <c r="E88" s="210"/>
      <c r="F88" s="13" t="s">
        <v>1975</v>
      </c>
      <c r="G88" s="13"/>
      <c r="H88" s="13" t="s">
        <v>463</v>
      </c>
      <c r="I88" s="196"/>
      <c r="J88" s="309" t="s">
        <v>452</v>
      </c>
      <c r="K88" s="26" t="s">
        <v>160</v>
      </c>
      <c r="L88" s="26"/>
      <c r="M88" s="13"/>
      <c r="N88" s="91"/>
      <c r="O88" s="102" t="s">
        <v>456</v>
      </c>
      <c r="P88" s="878"/>
      <c r="Q88" s="864"/>
      <c r="R88" s="790"/>
      <c r="S88" s="829"/>
      <c r="T88" s="869"/>
    </row>
    <row r="89" spans="2:23" s="40" customFormat="1" ht="15.5" customHeight="1" x14ac:dyDescent="0.2">
      <c r="B89" s="845"/>
      <c r="C89" s="90" t="s">
        <v>955</v>
      </c>
      <c r="D89" s="183" t="s">
        <v>270</v>
      </c>
      <c r="E89" s="183"/>
      <c r="F89" s="13" t="s">
        <v>1975</v>
      </c>
      <c r="G89" s="13"/>
      <c r="H89" s="13" t="s">
        <v>463</v>
      </c>
      <c r="I89" s="13"/>
      <c r="J89" s="26" t="s">
        <v>160</v>
      </c>
      <c r="K89" s="106" t="s">
        <v>160</v>
      </c>
      <c r="L89" s="106"/>
      <c r="M89" s="13"/>
      <c r="N89" s="91"/>
      <c r="O89" s="91" t="s">
        <v>961</v>
      </c>
      <c r="P89" s="26">
        <v>788891979</v>
      </c>
      <c r="Q89" s="864"/>
      <c r="R89" s="790"/>
      <c r="S89" s="829"/>
      <c r="T89" s="869"/>
    </row>
    <row r="90" spans="2:23" s="40" customFormat="1" ht="16.25" customHeight="1" thickBot="1" x14ac:dyDescent="0.25">
      <c r="B90" s="845"/>
      <c r="C90" s="94" t="s">
        <v>956</v>
      </c>
      <c r="D90" s="184" t="s">
        <v>272</v>
      </c>
      <c r="E90" s="212"/>
      <c r="F90" s="95"/>
      <c r="G90" s="96"/>
      <c r="H90" s="96" t="s">
        <v>463</v>
      </c>
      <c r="I90" s="96"/>
      <c r="J90" s="107" t="s">
        <v>160</v>
      </c>
      <c r="K90" s="107" t="s">
        <v>160</v>
      </c>
      <c r="L90" s="107"/>
      <c r="M90" s="96"/>
      <c r="N90" s="95"/>
      <c r="O90" s="104" t="s">
        <v>629</v>
      </c>
      <c r="P90" s="108">
        <v>788891982</v>
      </c>
      <c r="Q90" s="865"/>
      <c r="R90" s="791"/>
      <c r="S90" s="830"/>
      <c r="T90" s="871"/>
    </row>
    <row r="91" spans="2:23" s="40" customFormat="1" ht="16.25" customHeight="1" thickBot="1" x14ac:dyDescent="0.25">
      <c r="B91" s="845"/>
      <c r="C91" s="46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91"/>
      <c r="O91" s="98"/>
      <c r="P91" s="51"/>
      <c r="Q91" s="13"/>
      <c r="R91" s="13"/>
      <c r="S91" s="13"/>
      <c r="T91" s="13"/>
    </row>
    <row r="92" spans="2:23" s="40" customFormat="1" ht="15.5" customHeight="1" x14ac:dyDescent="0.2">
      <c r="B92" s="845"/>
      <c r="C92" s="87" t="s">
        <v>953</v>
      </c>
      <c r="D92" s="182" t="s">
        <v>273</v>
      </c>
      <c r="E92" s="182"/>
      <c r="F92" s="88"/>
      <c r="G92" s="88"/>
      <c r="H92" s="88" t="s">
        <v>465</v>
      </c>
      <c r="I92" s="88"/>
      <c r="J92" s="308" t="s">
        <v>452</v>
      </c>
      <c r="K92" s="105" t="s">
        <v>160</v>
      </c>
      <c r="L92" s="105"/>
      <c r="M92" s="88"/>
      <c r="N92" s="304"/>
      <c r="O92" s="110" t="s">
        <v>453</v>
      </c>
      <c r="P92" s="877">
        <v>788892000</v>
      </c>
      <c r="Q92" s="863" t="s">
        <v>466</v>
      </c>
      <c r="R92" s="789" t="s">
        <v>459</v>
      </c>
      <c r="S92" s="828" t="s">
        <v>611</v>
      </c>
      <c r="T92" s="868" t="s">
        <v>688</v>
      </c>
    </row>
    <row r="93" spans="2:23" s="40" customFormat="1" ht="15.5" customHeight="1" x14ac:dyDescent="0.2">
      <c r="B93" s="845"/>
      <c r="C93" s="186" t="s">
        <v>953</v>
      </c>
      <c r="D93" s="210" t="s">
        <v>276</v>
      </c>
      <c r="E93" s="210"/>
      <c r="F93" s="13"/>
      <c r="G93" s="13"/>
      <c r="H93" s="13" t="s">
        <v>467</v>
      </c>
      <c r="I93" s="196"/>
      <c r="J93" s="309" t="s">
        <v>452</v>
      </c>
      <c r="K93" s="26" t="s">
        <v>160</v>
      </c>
      <c r="L93" s="26"/>
      <c r="M93" s="13"/>
      <c r="N93" s="91"/>
      <c r="O93" s="102" t="s">
        <v>456</v>
      </c>
      <c r="P93" s="878"/>
      <c r="Q93" s="864"/>
      <c r="R93" s="790"/>
      <c r="S93" s="829"/>
      <c r="T93" s="869"/>
    </row>
    <row r="94" spans="2:23" s="40" customFormat="1" ht="15.5" customHeight="1" x14ac:dyDescent="0.2">
      <c r="B94" s="845"/>
      <c r="C94" s="186" t="s">
        <v>953</v>
      </c>
      <c r="D94" s="183" t="s">
        <v>274</v>
      </c>
      <c r="E94" s="183"/>
      <c r="F94" s="13"/>
      <c r="G94" s="13"/>
      <c r="H94" s="13" t="s">
        <v>463</v>
      </c>
      <c r="I94" s="13"/>
      <c r="J94" s="26" t="s">
        <v>160</v>
      </c>
      <c r="K94" s="26" t="s">
        <v>160</v>
      </c>
      <c r="L94" s="26"/>
      <c r="M94" s="13"/>
      <c r="N94" s="91"/>
      <c r="O94" s="91" t="s">
        <v>448</v>
      </c>
      <c r="P94" s="26">
        <v>788892005</v>
      </c>
      <c r="Q94" s="864"/>
      <c r="R94" s="790"/>
      <c r="S94" s="829"/>
      <c r="T94" s="869"/>
    </row>
    <row r="95" spans="2:23" s="40" customFormat="1" ht="16.25" customHeight="1" thickBot="1" x14ac:dyDescent="0.25">
      <c r="B95" s="845"/>
      <c r="C95" s="303" t="s">
        <v>954</v>
      </c>
      <c r="D95" s="184" t="s">
        <v>277</v>
      </c>
      <c r="E95" s="212"/>
      <c r="F95" s="95"/>
      <c r="G95" s="96"/>
      <c r="H95" s="96" t="s">
        <v>468</v>
      </c>
      <c r="I95" s="96"/>
      <c r="J95" s="107" t="s">
        <v>160</v>
      </c>
      <c r="K95" s="107" t="s">
        <v>160</v>
      </c>
      <c r="L95" s="107"/>
      <c r="M95" s="96"/>
      <c r="N95" s="95"/>
      <c r="O95" s="104" t="s">
        <v>961</v>
      </c>
      <c r="P95" s="108">
        <v>788891491</v>
      </c>
      <c r="Q95" s="865"/>
      <c r="R95" s="791"/>
      <c r="S95" s="830"/>
      <c r="T95" s="871"/>
    </row>
    <row r="96" spans="2:23" s="44" customFormat="1" ht="17" thickBot="1" x14ac:dyDescent="0.25">
      <c r="C96" s="40"/>
      <c r="D96" s="21"/>
      <c r="E96" s="21"/>
      <c r="F96" s="21"/>
      <c r="G96" s="21"/>
      <c r="H96" s="21"/>
      <c r="I96" s="21"/>
      <c r="J96" s="136"/>
      <c r="K96" s="136"/>
      <c r="L96" s="136"/>
      <c r="M96" s="21"/>
      <c r="N96" s="21"/>
      <c r="O96" s="178"/>
      <c r="P96" s="179"/>
      <c r="Q96" s="20"/>
      <c r="R96" s="20"/>
      <c r="S96" s="21"/>
      <c r="T96" s="21"/>
      <c r="U96" s="40"/>
      <c r="V96" s="40"/>
      <c r="W96" s="40"/>
    </row>
    <row r="97" spans="2:23" s="44" customFormat="1" ht="16" customHeight="1" thickBot="1" x14ac:dyDescent="0.25">
      <c r="B97" s="824">
        <v>45638</v>
      </c>
      <c r="C97" s="87"/>
      <c r="D97" s="88" t="s">
        <v>281</v>
      </c>
      <c r="E97" s="88"/>
      <c r="F97" s="88"/>
      <c r="G97" s="304"/>
      <c r="H97" s="88" t="s">
        <v>1846</v>
      </c>
      <c r="I97" s="182"/>
      <c r="J97" s="182" t="s">
        <v>160</v>
      </c>
      <c r="K97" s="101" t="s">
        <v>452</v>
      </c>
      <c r="L97" s="101"/>
      <c r="M97" s="442"/>
      <c r="N97" s="88"/>
      <c r="O97" s="440" t="s">
        <v>190</v>
      </c>
      <c r="P97" s="834">
        <v>542082674</v>
      </c>
      <c r="Q97" s="787" t="s">
        <v>689</v>
      </c>
      <c r="R97" s="789" t="s">
        <v>1782</v>
      </c>
      <c r="S97" s="837" t="s">
        <v>610</v>
      </c>
      <c r="T97" s="868"/>
      <c r="U97" s="40"/>
      <c r="V97" s="40"/>
      <c r="W97" s="40"/>
    </row>
    <row r="98" spans="2:23" s="44" customFormat="1" x14ac:dyDescent="0.2">
      <c r="B98" s="825"/>
      <c r="C98" s="186"/>
      <c r="D98" s="13" t="s">
        <v>1781</v>
      </c>
      <c r="E98" s="13"/>
      <c r="F98" s="13"/>
      <c r="G98" s="91"/>
      <c r="H98" s="13" t="s">
        <v>1845</v>
      </c>
      <c r="I98" s="45"/>
      <c r="J98" s="101" t="s">
        <v>452</v>
      </c>
      <c r="K98" s="463" t="s">
        <v>49</v>
      </c>
      <c r="L98" s="463"/>
      <c r="M98" s="54"/>
      <c r="N98" s="13"/>
      <c r="O98" s="12" t="s">
        <v>1852</v>
      </c>
      <c r="P98" s="737"/>
      <c r="Q98" s="769"/>
      <c r="R98" s="790"/>
      <c r="S98" s="838"/>
      <c r="T98" s="869"/>
      <c r="U98" s="40"/>
      <c r="V98" s="40"/>
      <c r="W98" s="40"/>
    </row>
    <row r="99" spans="2:23" s="44" customFormat="1" x14ac:dyDescent="0.2">
      <c r="B99" s="825"/>
      <c r="C99" s="90"/>
      <c r="F99" s="13"/>
      <c r="G99" s="91"/>
      <c r="H99" s="13"/>
      <c r="I99" s="45"/>
      <c r="J99" s="183"/>
      <c r="K99" s="13"/>
      <c r="L99" s="13"/>
      <c r="M99" s="187"/>
      <c r="N99" s="13"/>
      <c r="O99" s="99"/>
      <c r="P99" s="737"/>
      <c r="Q99" s="769"/>
      <c r="R99" s="790"/>
      <c r="S99" s="838"/>
      <c r="T99" s="869"/>
      <c r="U99" s="40"/>
      <c r="V99" s="40"/>
      <c r="W99" s="40"/>
    </row>
    <row r="100" spans="2:23" s="44" customFormat="1" ht="17" thickBot="1" x14ac:dyDescent="0.25">
      <c r="B100" s="825"/>
      <c r="C100" s="94"/>
      <c r="D100" s="96"/>
      <c r="E100" s="96"/>
      <c r="F100" s="96"/>
      <c r="G100" s="95"/>
      <c r="H100" s="96"/>
      <c r="I100" s="209"/>
      <c r="J100" s="184"/>
      <c r="K100" s="103"/>
      <c r="L100" s="103"/>
      <c r="M100" s="96"/>
      <c r="N100" s="96"/>
      <c r="O100" s="189"/>
      <c r="P100" s="835"/>
      <c r="Q100" s="788"/>
      <c r="R100" s="791"/>
      <c r="S100" s="839"/>
      <c r="T100" s="870"/>
      <c r="U100" s="40"/>
      <c r="V100" s="40"/>
      <c r="W100" s="40"/>
    </row>
    <row r="101" spans="2:23" s="44" customFormat="1" ht="17" thickBot="1" x14ac:dyDescent="0.25">
      <c r="B101" s="825"/>
      <c r="C101" s="46"/>
      <c r="D101" s="84"/>
      <c r="E101" s="211"/>
      <c r="F101" s="211"/>
      <c r="G101" s="462"/>
      <c r="H101" s="196"/>
      <c r="I101" s="45"/>
      <c r="J101" s="211"/>
      <c r="K101" s="195"/>
      <c r="L101" s="195"/>
      <c r="M101" s="195"/>
      <c r="N101" s="317"/>
      <c r="O101" s="197"/>
      <c r="P101" s="106"/>
      <c r="Q101" s="149"/>
      <c r="R101" s="190"/>
      <c r="S101" s="190"/>
      <c r="T101" s="190"/>
      <c r="U101" s="40"/>
      <c r="V101" s="40"/>
      <c r="W101" s="40"/>
    </row>
    <row r="102" spans="2:23" s="44" customFormat="1" ht="16" customHeight="1" x14ac:dyDescent="0.2">
      <c r="B102" s="825"/>
      <c r="C102" s="87"/>
      <c r="D102" s="88" t="s">
        <v>290</v>
      </c>
      <c r="E102" s="88"/>
      <c r="F102" s="88"/>
      <c r="G102" s="304"/>
      <c r="H102" s="88" t="s">
        <v>1847</v>
      </c>
      <c r="I102" s="182"/>
      <c r="J102" s="182" t="s">
        <v>160</v>
      </c>
      <c r="K102" s="101" t="s">
        <v>452</v>
      </c>
      <c r="L102" s="101"/>
      <c r="M102" s="442"/>
      <c r="N102" s="88"/>
      <c r="O102" s="440" t="s">
        <v>190</v>
      </c>
      <c r="P102" s="834"/>
      <c r="Q102" s="787" t="s">
        <v>286</v>
      </c>
      <c r="R102" s="789" t="s">
        <v>967</v>
      </c>
      <c r="S102" s="837" t="s">
        <v>611</v>
      </c>
      <c r="T102" s="868"/>
      <c r="U102" s="40"/>
      <c r="V102" s="40"/>
      <c r="W102" s="40"/>
    </row>
    <row r="103" spans="2:23" s="44" customFormat="1" x14ac:dyDescent="0.2">
      <c r="B103" s="825"/>
      <c r="C103" s="186"/>
      <c r="D103" s="54"/>
      <c r="E103" s="54"/>
      <c r="F103" s="13"/>
      <c r="G103" s="91"/>
      <c r="H103" s="13"/>
      <c r="I103" s="45"/>
      <c r="J103" s="183"/>
      <c r="K103" s="5"/>
      <c r="L103" s="5"/>
      <c r="M103" s="54"/>
      <c r="N103" s="13"/>
      <c r="O103" s="51"/>
      <c r="P103" s="737"/>
      <c r="Q103" s="769"/>
      <c r="R103" s="790"/>
      <c r="S103" s="838"/>
      <c r="T103" s="869"/>
      <c r="U103" s="40"/>
      <c r="V103" s="40"/>
      <c r="W103" s="40"/>
    </row>
    <row r="104" spans="2:23" s="44" customFormat="1" x14ac:dyDescent="0.2">
      <c r="B104" s="825"/>
      <c r="C104" s="90"/>
      <c r="D104" s="13"/>
      <c r="E104" s="13"/>
      <c r="F104" s="13"/>
      <c r="G104" s="91"/>
      <c r="H104" s="13"/>
      <c r="I104" s="45"/>
      <c r="J104" s="183"/>
      <c r="K104" s="13"/>
      <c r="L104" s="13"/>
      <c r="M104" s="187"/>
      <c r="N104" s="13"/>
      <c r="O104" s="99"/>
      <c r="P104" s="737"/>
      <c r="Q104" s="769"/>
      <c r="R104" s="790"/>
      <c r="S104" s="838"/>
      <c r="T104" s="869"/>
      <c r="U104" s="40"/>
      <c r="V104" s="40"/>
      <c r="W104" s="40"/>
    </row>
    <row r="105" spans="2:23" s="44" customFormat="1" ht="17" thickBot="1" x14ac:dyDescent="0.25">
      <c r="B105" s="825"/>
      <c r="C105" s="94"/>
      <c r="D105" s="96"/>
      <c r="E105" s="96"/>
      <c r="F105" s="96"/>
      <c r="G105" s="95"/>
      <c r="H105" s="96"/>
      <c r="I105" s="209"/>
      <c r="J105" s="184"/>
      <c r="K105" s="103"/>
      <c r="L105" s="103"/>
      <c r="M105" s="96"/>
      <c r="N105" s="96"/>
      <c r="O105" s="189"/>
      <c r="P105" s="835"/>
      <c r="Q105" s="788"/>
      <c r="R105" s="791"/>
      <c r="S105" s="839"/>
      <c r="T105" s="870"/>
      <c r="U105" s="40"/>
      <c r="V105" s="40"/>
      <c r="W105" s="40"/>
    </row>
    <row r="106" spans="2:23" s="44" customFormat="1" ht="17" thickBot="1" x14ac:dyDescent="0.25">
      <c r="B106" s="825"/>
      <c r="C106" s="46"/>
      <c r="D106" s="13"/>
      <c r="E106" s="21"/>
      <c r="F106" s="106"/>
      <c r="G106" s="193"/>
      <c r="H106" s="109"/>
      <c r="I106" s="45"/>
      <c r="J106" s="409"/>
      <c r="K106" s="199"/>
      <c r="L106" s="199"/>
      <c r="M106" s="199"/>
      <c r="N106" s="193"/>
      <c r="O106" s="201"/>
      <c r="P106" s="106"/>
      <c r="Q106" s="106"/>
      <c r="R106" s="190"/>
      <c r="S106" s="190"/>
      <c r="T106" s="190"/>
      <c r="U106" s="40"/>
      <c r="V106" s="40"/>
      <c r="W106" s="40"/>
    </row>
    <row r="107" spans="2:23" s="44" customFormat="1" ht="16" customHeight="1" x14ac:dyDescent="0.2">
      <c r="B107" s="825"/>
      <c r="C107" s="87" t="s">
        <v>1855</v>
      </c>
      <c r="D107" s="88" t="s">
        <v>292</v>
      </c>
      <c r="E107" s="88"/>
      <c r="F107" s="88"/>
      <c r="G107" s="304"/>
      <c r="H107" s="88" t="s">
        <v>1857</v>
      </c>
      <c r="I107" s="182"/>
      <c r="J107" s="182" t="s">
        <v>160</v>
      </c>
      <c r="K107" s="204"/>
      <c r="L107" s="204"/>
      <c r="M107" s="442"/>
      <c r="N107" s="88"/>
      <c r="O107" s="440" t="s">
        <v>190</v>
      </c>
      <c r="P107" s="834">
        <v>788895455</v>
      </c>
      <c r="Q107" s="787" t="s">
        <v>287</v>
      </c>
      <c r="R107" s="789" t="s">
        <v>967</v>
      </c>
      <c r="S107" s="837" t="s">
        <v>611</v>
      </c>
      <c r="T107" s="868"/>
      <c r="U107" s="40"/>
      <c r="V107" s="40"/>
      <c r="W107" s="40"/>
    </row>
    <row r="108" spans="2:23" s="44" customFormat="1" x14ac:dyDescent="0.2">
      <c r="B108" s="825"/>
      <c r="C108" s="186"/>
      <c r="D108" s="54"/>
      <c r="E108" s="54"/>
      <c r="F108" s="13"/>
      <c r="G108" s="91"/>
      <c r="H108" s="13"/>
      <c r="I108" s="45"/>
      <c r="J108" s="183"/>
      <c r="K108" s="26"/>
      <c r="L108" s="26"/>
      <c r="M108" s="54"/>
      <c r="N108" s="13"/>
      <c r="O108" s="51"/>
      <c r="P108" s="737"/>
      <c r="Q108" s="769"/>
      <c r="R108" s="790"/>
      <c r="S108" s="838"/>
      <c r="T108" s="869"/>
      <c r="U108" s="40"/>
      <c r="V108" s="40"/>
      <c r="W108" s="40"/>
    </row>
    <row r="109" spans="2:23" s="44" customFormat="1" x14ac:dyDescent="0.2">
      <c r="B109" s="825"/>
      <c r="C109" s="90"/>
      <c r="D109" s="13"/>
      <c r="E109" s="13"/>
      <c r="F109" s="13"/>
      <c r="G109" s="91"/>
      <c r="H109" s="13"/>
      <c r="I109" s="45"/>
      <c r="J109" s="183"/>
      <c r="K109" s="13"/>
      <c r="L109" s="13"/>
      <c r="M109" s="187"/>
      <c r="N109" s="13"/>
      <c r="O109" s="99"/>
      <c r="P109" s="737"/>
      <c r="Q109" s="769"/>
      <c r="R109" s="790"/>
      <c r="S109" s="838"/>
      <c r="T109" s="869"/>
      <c r="U109" s="40"/>
      <c r="V109" s="40"/>
      <c r="W109" s="40"/>
    </row>
    <row r="110" spans="2:23" s="44" customFormat="1" ht="17" thickBot="1" x14ac:dyDescent="0.25">
      <c r="B110" s="825"/>
      <c r="C110" s="94"/>
      <c r="D110" s="96"/>
      <c r="E110" s="96"/>
      <c r="F110" s="96"/>
      <c r="G110" s="95"/>
      <c r="H110" s="96"/>
      <c r="I110" s="209"/>
      <c r="J110" s="184"/>
      <c r="K110" s="103"/>
      <c r="L110" s="103"/>
      <c r="M110" s="96"/>
      <c r="N110" s="96"/>
      <c r="O110" s="189"/>
      <c r="P110" s="835"/>
      <c r="Q110" s="788"/>
      <c r="R110" s="791"/>
      <c r="S110" s="839"/>
      <c r="T110" s="870"/>
      <c r="U110" s="40"/>
      <c r="V110" s="40"/>
      <c r="W110" s="40"/>
    </row>
    <row r="111" spans="2:23" s="44" customFormat="1" ht="17" thickBot="1" x14ac:dyDescent="0.25">
      <c r="B111" s="825"/>
      <c r="C111" s="299"/>
      <c r="D111" s="202"/>
      <c r="E111" s="106"/>
      <c r="F111" s="106"/>
      <c r="G111" s="320"/>
      <c r="H111" s="202"/>
      <c r="I111" s="45"/>
      <c r="J111" s="466"/>
      <c r="K111" s="202"/>
      <c r="L111" s="202"/>
      <c r="M111" s="202"/>
      <c r="N111" s="320"/>
      <c r="O111" s="203"/>
      <c r="P111" s="106"/>
      <c r="Q111" s="106"/>
      <c r="R111" s="190"/>
      <c r="S111" s="190"/>
      <c r="T111" s="190"/>
      <c r="U111" s="40"/>
      <c r="V111" s="40"/>
      <c r="W111" s="40"/>
    </row>
    <row r="112" spans="2:23" s="44" customFormat="1" ht="16" customHeight="1" x14ac:dyDescent="0.2">
      <c r="B112" s="825"/>
      <c r="C112" s="87"/>
      <c r="D112" s="88"/>
      <c r="E112" s="88"/>
      <c r="F112" s="88"/>
      <c r="G112" s="304"/>
      <c r="H112" s="88" t="s">
        <v>1856</v>
      </c>
      <c r="I112" s="182"/>
      <c r="J112" s="182"/>
      <c r="K112" s="204"/>
      <c r="L112" s="204"/>
      <c r="M112" s="442"/>
      <c r="N112" s="88"/>
      <c r="O112" s="440" t="s">
        <v>190</v>
      </c>
      <c r="P112" s="834"/>
      <c r="Q112" s="831" t="s">
        <v>1017</v>
      </c>
      <c r="R112" s="826" t="s">
        <v>967</v>
      </c>
      <c r="S112" s="828" t="s">
        <v>611</v>
      </c>
      <c r="T112" s="868"/>
      <c r="U112" s="40"/>
      <c r="V112" s="40"/>
      <c r="W112" s="40"/>
    </row>
    <row r="113" spans="2:23" s="44" customFormat="1" x14ac:dyDescent="0.2">
      <c r="B113" s="825"/>
      <c r="C113" s="186"/>
      <c r="D113" s="54"/>
      <c r="E113" s="54"/>
      <c r="F113" s="13"/>
      <c r="G113" s="91"/>
      <c r="H113" s="13"/>
      <c r="I113" s="45"/>
      <c r="J113" s="183"/>
      <c r="K113" s="5"/>
      <c r="L113" s="5"/>
      <c r="M113" s="54"/>
      <c r="N113" s="13"/>
      <c r="O113" s="51"/>
      <c r="P113" s="737"/>
      <c r="Q113" s="832"/>
      <c r="R113" s="753"/>
      <c r="S113" s="829"/>
      <c r="T113" s="869"/>
      <c r="U113" s="40"/>
      <c r="V113" s="40"/>
      <c r="W113" s="40"/>
    </row>
    <row r="114" spans="2:23" s="44" customFormat="1" x14ac:dyDescent="0.2">
      <c r="B114" s="825"/>
      <c r="C114" s="90"/>
      <c r="D114" s="13"/>
      <c r="E114" s="13"/>
      <c r="F114" s="13"/>
      <c r="G114" s="91"/>
      <c r="H114" s="13"/>
      <c r="I114" s="45"/>
      <c r="J114" s="183"/>
      <c r="K114" s="13"/>
      <c r="L114" s="13"/>
      <c r="M114" s="187"/>
      <c r="N114" s="13"/>
      <c r="O114" s="99"/>
      <c r="P114" s="737"/>
      <c r="Q114" s="832"/>
      <c r="R114" s="753"/>
      <c r="S114" s="829"/>
      <c r="T114" s="869"/>
      <c r="U114" s="40"/>
      <c r="V114" s="40"/>
      <c r="W114" s="40"/>
    </row>
    <row r="115" spans="2:23" s="44" customFormat="1" ht="17" thickBot="1" x14ac:dyDescent="0.25">
      <c r="B115" s="825"/>
      <c r="C115" s="94"/>
      <c r="D115" s="96"/>
      <c r="E115" s="96"/>
      <c r="F115" s="96"/>
      <c r="G115" s="95"/>
      <c r="H115" s="96"/>
      <c r="I115" s="209"/>
      <c r="J115" s="184"/>
      <c r="K115" s="103"/>
      <c r="L115" s="103"/>
      <c r="M115" s="96"/>
      <c r="N115" s="96"/>
      <c r="O115" s="189"/>
      <c r="P115" s="835"/>
      <c r="Q115" s="833"/>
      <c r="R115" s="827"/>
      <c r="S115" s="830"/>
      <c r="T115" s="870"/>
      <c r="U115" s="40"/>
      <c r="V115" s="40"/>
      <c r="W115" s="40"/>
    </row>
    <row r="116" spans="2:23" s="44" customFormat="1" ht="17" thickBot="1" x14ac:dyDescent="0.25">
      <c r="C116" s="40"/>
      <c r="D116" s="21"/>
      <c r="E116" s="21"/>
      <c r="F116" s="21"/>
      <c r="G116" s="21"/>
      <c r="H116" s="21"/>
      <c r="I116" s="21"/>
      <c r="J116" s="136"/>
      <c r="K116" s="136"/>
      <c r="L116" s="136"/>
      <c r="M116" s="21"/>
      <c r="N116" s="21"/>
      <c r="O116" s="178"/>
      <c r="P116" s="124"/>
      <c r="Q116" s="20"/>
      <c r="R116" s="20"/>
      <c r="S116" s="21"/>
      <c r="T116" s="21"/>
      <c r="U116" s="40"/>
      <c r="V116" s="40"/>
      <c r="W116" s="40"/>
    </row>
    <row r="117" spans="2:23" s="40" customFormat="1" ht="15.75" customHeight="1" x14ac:dyDescent="0.2">
      <c r="B117" s="836">
        <v>45551</v>
      </c>
      <c r="C117" s="87" t="s">
        <v>1443</v>
      </c>
      <c r="D117" s="182" t="s">
        <v>250</v>
      </c>
      <c r="E117" s="182"/>
      <c r="F117" s="182"/>
      <c r="G117" s="88"/>
      <c r="H117" s="88"/>
      <c r="I117" s="88"/>
      <c r="J117" s="101" t="s">
        <v>452</v>
      </c>
      <c r="K117" s="88" t="s">
        <v>160</v>
      </c>
      <c r="L117" s="88"/>
      <c r="M117" s="88"/>
      <c r="N117" s="304"/>
      <c r="O117" s="110" t="s">
        <v>190</v>
      </c>
      <c r="P117" s="834" t="s">
        <v>1338</v>
      </c>
      <c r="Q117" s="831" t="s">
        <v>1322</v>
      </c>
      <c r="R117" s="789" t="s">
        <v>114</v>
      </c>
      <c r="S117" s="828" t="s">
        <v>610</v>
      </c>
      <c r="T117" s="810"/>
    </row>
    <row r="118" spans="2:23" s="40" customFormat="1" ht="15.75" customHeight="1" x14ac:dyDescent="0.2">
      <c r="B118" s="836"/>
      <c r="C118" s="90" t="s">
        <v>1443</v>
      </c>
      <c r="D118" s="210" t="s">
        <v>166</v>
      </c>
      <c r="E118" s="210"/>
      <c r="F118" s="183"/>
      <c r="G118" s="13"/>
      <c r="H118" s="13"/>
      <c r="I118" s="13"/>
      <c r="J118" s="129" t="s">
        <v>452</v>
      </c>
      <c r="K118" s="109" t="s">
        <v>160</v>
      </c>
      <c r="L118" s="109"/>
      <c r="M118" s="13"/>
      <c r="N118" s="13"/>
      <c r="O118" s="91" t="s">
        <v>221</v>
      </c>
      <c r="P118" s="737"/>
      <c r="Q118" s="832"/>
      <c r="R118" s="790"/>
      <c r="S118" s="829"/>
      <c r="T118" s="811"/>
    </row>
    <row r="119" spans="2:23" s="40" customFormat="1" ht="15.75" customHeight="1" x14ac:dyDescent="0.2">
      <c r="B119" s="836"/>
      <c r="C119" s="90" t="s">
        <v>1446</v>
      </c>
      <c r="D119" s="183" t="s">
        <v>163</v>
      </c>
      <c r="E119" s="183"/>
      <c r="F119" s="183"/>
      <c r="G119" s="13"/>
      <c r="H119" s="13"/>
      <c r="I119" s="13"/>
      <c r="J119" s="129" t="s">
        <v>452</v>
      </c>
      <c r="K119" s="64" t="s">
        <v>49</v>
      </c>
      <c r="L119" s="64"/>
      <c r="M119" s="13"/>
      <c r="N119" s="12"/>
      <c r="O119" s="12" t="s">
        <v>951</v>
      </c>
      <c r="P119" s="737"/>
      <c r="Q119" s="832"/>
      <c r="R119" s="790"/>
      <c r="S119" s="829"/>
      <c r="T119" s="811"/>
    </row>
    <row r="120" spans="2:23" s="40" customFormat="1" ht="15.75" customHeight="1" thickBot="1" x14ac:dyDescent="0.25">
      <c r="B120" s="836"/>
      <c r="C120" s="94" t="s">
        <v>1443</v>
      </c>
      <c r="D120" s="184" t="s">
        <v>175</v>
      </c>
      <c r="E120" s="184"/>
      <c r="F120" s="184"/>
      <c r="G120" s="96"/>
      <c r="H120" s="96"/>
      <c r="I120" s="96"/>
      <c r="J120" s="376" t="s">
        <v>452</v>
      </c>
      <c r="K120" s="318" t="s">
        <v>160</v>
      </c>
      <c r="L120" s="318"/>
      <c r="M120" s="375" t="s">
        <v>1321</v>
      </c>
      <c r="N120" s="96"/>
      <c r="O120" s="134" t="s">
        <v>253</v>
      </c>
      <c r="P120" s="835"/>
      <c r="Q120" s="833"/>
      <c r="R120" s="791"/>
      <c r="S120" s="830"/>
      <c r="T120" s="812"/>
    </row>
    <row r="121" spans="2:23" s="40" customFormat="1" ht="15.75" customHeight="1" thickBot="1" x14ac:dyDescent="0.25">
      <c r="B121" s="836"/>
      <c r="C121" s="382"/>
      <c r="D121" s="190"/>
      <c r="E121" s="21"/>
      <c r="F121" s="106"/>
      <c r="G121" s="190"/>
      <c r="H121" s="190"/>
      <c r="I121" s="190"/>
      <c r="J121" s="190"/>
      <c r="K121" s="190"/>
      <c r="L121" s="190"/>
      <c r="M121" s="190"/>
      <c r="N121" s="316"/>
      <c r="O121" s="191"/>
      <c r="P121" s="106"/>
      <c r="Q121" s="106"/>
      <c r="R121" s="190"/>
      <c r="S121" s="190"/>
      <c r="T121" s="190"/>
    </row>
    <row r="122" spans="2:23" s="40" customFormat="1" ht="15.75" customHeight="1" x14ac:dyDescent="0.2">
      <c r="B122" s="836"/>
      <c r="C122" s="87" t="s">
        <v>1443</v>
      </c>
      <c r="D122" s="182" t="s">
        <v>159</v>
      </c>
      <c r="E122" s="182"/>
      <c r="F122" s="182"/>
      <c r="G122" s="88"/>
      <c r="H122" s="88"/>
      <c r="I122" s="88"/>
      <c r="J122" s="101" t="s">
        <v>452</v>
      </c>
      <c r="K122" s="88" t="s">
        <v>160</v>
      </c>
      <c r="L122" s="88"/>
      <c r="M122" s="88"/>
      <c r="N122" s="304"/>
      <c r="O122" s="110" t="s">
        <v>190</v>
      </c>
      <c r="P122" s="834">
        <v>788891504</v>
      </c>
      <c r="Q122" s="831" t="s">
        <v>171</v>
      </c>
      <c r="R122" s="789" t="s">
        <v>967</v>
      </c>
      <c r="S122" s="828" t="s">
        <v>611</v>
      </c>
      <c r="T122" s="868" t="s">
        <v>1471</v>
      </c>
    </row>
    <row r="123" spans="2:23" s="40" customFormat="1" ht="15.75" customHeight="1" x14ac:dyDescent="0.2">
      <c r="B123" s="836"/>
      <c r="C123" s="90" t="s">
        <v>1443</v>
      </c>
      <c r="D123" s="210" t="s">
        <v>181</v>
      </c>
      <c r="E123" s="210"/>
      <c r="F123" s="183"/>
      <c r="G123" s="13"/>
      <c r="H123" s="13"/>
      <c r="I123" s="13"/>
      <c r="J123" s="5"/>
      <c r="K123" s="64" t="s">
        <v>49</v>
      </c>
      <c r="L123" s="64"/>
      <c r="M123" s="13"/>
      <c r="N123" s="13"/>
      <c r="O123" s="12" t="s">
        <v>1444</v>
      </c>
      <c r="P123" s="737"/>
      <c r="Q123" s="832"/>
      <c r="R123" s="790"/>
      <c r="S123" s="829"/>
      <c r="T123" s="869"/>
    </row>
    <row r="124" spans="2:23" s="40" customFormat="1" ht="15.75" customHeight="1" x14ac:dyDescent="0.2">
      <c r="B124" s="836"/>
      <c r="C124" s="90" t="s">
        <v>1443</v>
      </c>
      <c r="D124" s="183" t="s">
        <v>179</v>
      </c>
      <c r="E124" s="183"/>
      <c r="F124" s="183"/>
      <c r="G124" s="13"/>
      <c r="H124" s="13"/>
      <c r="I124" s="13"/>
      <c r="J124" s="368"/>
      <c r="K124" s="64" t="s">
        <v>49</v>
      </c>
      <c r="L124" s="64"/>
      <c r="M124" s="13"/>
      <c r="N124" s="13"/>
      <c r="O124" s="12" t="s">
        <v>2019</v>
      </c>
      <c r="P124" s="737"/>
      <c r="Q124" s="832"/>
      <c r="R124" s="790"/>
      <c r="S124" s="829"/>
      <c r="T124" s="869"/>
    </row>
    <row r="125" spans="2:23" s="40" customFormat="1" ht="15.75" customHeight="1" thickBot="1" x14ac:dyDescent="0.25">
      <c r="B125" s="836"/>
      <c r="C125" s="94" t="s">
        <v>1445</v>
      </c>
      <c r="D125" s="184" t="s">
        <v>198</v>
      </c>
      <c r="E125" s="184"/>
      <c r="F125" s="184"/>
      <c r="G125" s="96"/>
      <c r="H125" s="96"/>
      <c r="I125" s="96"/>
      <c r="J125" s="370"/>
      <c r="K125" s="371" t="s">
        <v>49</v>
      </c>
      <c r="L125" s="371"/>
      <c r="M125" s="96"/>
      <c r="N125" s="96"/>
      <c r="O125" s="134" t="s">
        <v>2018</v>
      </c>
      <c r="P125" s="835"/>
      <c r="Q125" s="833"/>
      <c r="R125" s="791"/>
      <c r="S125" s="830"/>
      <c r="T125" s="871"/>
    </row>
    <row r="126" spans="2:23" s="40" customFormat="1" ht="15.75" customHeight="1" thickBot="1" x14ac:dyDescent="0.25">
      <c r="B126" s="836"/>
      <c r="C126" s="46"/>
      <c r="D126" s="13"/>
      <c r="E126" s="21"/>
      <c r="F126" s="106"/>
      <c r="G126" s="190"/>
      <c r="H126" s="190"/>
      <c r="I126" s="190"/>
      <c r="J126" s="190"/>
      <c r="K126" s="190"/>
      <c r="L126" s="190"/>
      <c r="M126" s="190"/>
      <c r="N126" s="316"/>
      <c r="O126" s="192"/>
      <c r="P126" s="106"/>
      <c r="Q126" s="106"/>
      <c r="R126" s="190"/>
      <c r="S126" s="190"/>
      <c r="T126" s="190"/>
    </row>
    <row r="127" spans="2:23" s="40" customFormat="1" ht="15.75" customHeight="1" x14ac:dyDescent="0.2">
      <c r="B127" s="836"/>
      <c r="C127" s="87"/>
      <c r="D127" s="182"/>
      <c r="E127" s="182"/>
      <c r="F127" s="182"/>
      <c r="G127" s="88"/>
      <c r="H127" s="88"/>
      <c r="I127" s="88"/>
      <c r="J127" s="88"/>
      <c r="K127" s="88"/>
      <c r="L127" s="88"/>
      <c r="M127" s="88"/>
      <c r="N127" s="304"/>
      <c r="O127" s="110"/>
      <c r="P127" s="233"/>
      <c r="Q127" s="831" t="s">
        <v>178</v>
      </c>
      <c r="R127" s="789"/>
      <c r="S127" s="828" t="s">
        <v>611</v>
      </c>
      <c r="T127" s="868" t="s">
        <v>1724</v>
      </c>
    </row>
    <row r="128" spans="2:23" s="40" customFormat="1" ht="15.75" customHeight="1" x14ac:dyDescent="0.2">
      <c r="B128" s="836"/>
      <c r="C128" s="90"/>
      <c r="D128" s="377"/>
      <c r="E128" s="377"/>
      <c r="F128" s="183"/>
      <c r="G128" s="13"/>
      <c r="H128" s="13"/>
      <c r="I128" s="13"/>
      <c r="J128" s="5"/>
      <c r="K128" s="13" t="s">
        <v>1330</v>
      </c>
      <c r="L128" s="13"/>
      <c r="M128" s="13"/>
      <c r="N128" s="13"/>
      <c r="O128" s="91"/>
      <c r="P128" s="54"/>
      <c r="Q128" s="832"/>
      <c r="R128" s="790"/>
      <c r="S128" s="829"/>
      <c r="T128" s="869"/>
    </row>
    <row r="129" spans="2:20" s="40" customFormat="1" ht="15.75" customHeight="1" x14ac:dyDescent="0.2">
      <c r="B129" s="836"/>
      <c r="C129" s="90"/>
      <c r="D129" s="183"/>
      <c r="E129" s="183"/>
      <c r="F129" s="183"/>
      <c r="G129" s="13"/>
      <c r="H129" s="13"/>
      <c r="I129" s="13"/>
      <c r="J129" s="368"/>
      <c r="K129" s="13"/>
      <c r="L129" s="13"/>
      <c r="M129" s="13"/>
      <c r="N129" s="13"/>
      <c r="O129" s="188"/>
      <c r="P129" s="50"/>
      <c r="Q129" s="832"/>
      <c r="R129" s="790"/>
      <c r="S129" s="829"/>
      <c r="T129" s="869"/>
    </row>
    <row r="130" spans="2:20" s="40" customFormat="1" ht="15.75" customHeight="1" thickBot="1" x14ac:dyDescent="0.25">
      <c r="B130" s="836"/>
      <c r="C130" s="94"/>
      <c r="D130" s="184"/>
      <c r="E130" s="184"/>
      <c r="F130" s="184"/>
      <c r="G130" s="96"/>
      <c r="H130" s="96"/>
      <c r="I130" s="96"/>
      <c r="J130" s="370"/>
      <c r="K130" s="96"/>
      <c r="L130" s="96"/>
      <c r="M130" s="96"/>
      <c r="N130" s="96"/>
      <c r="O130" s="189"/>
      <c r="P130" s="263"/>
      <c r="Q130" s="833"/>
      <c r="R130" s="791"/>
      <c r="S130" s="830"/>
      <c r="T130" s="871"/>
    </row>
    <row r="131" spans="2:20" s="40" customFormat="1" ht="15.75" customHeight="1" thickBot="1" x14ac:dyDescent="0.25">
      <c r="B131" s="836"/>
      <c r="C131" s="299" t="s">
        <v>1457</v>
      </c>
      <c r="D131" s="196" t="s">
        <v>1456</v>
      </c>
      <c r="E131" s="21"/>
      <c r="F131" s="106"/>
      <c r="G131" s="190"/>
      <c r="H131" s="190"/>
      <c r="I131" s="190"/>
      <c r="J131" s="190"/>
      <c r="K131" s="190"/>
      <c r="L131" s="190"/>
      <c r="M131" s="190"/>
      <c r="N131" s="316"/>
      <c r="O131" s="316"/>
      <c r="P131" s="556"/>
      <c r="Q131" s="106"/>
      <c r="R131" s="190"/>
      <c r="S131" s="190"/>
      <c r="T131" s="190"/>
    </row>
    <row r="132" spans="2:20" s="40" customFormat="1" ht="15.75" customHeight="1" x14ac:dyDescent="0.2">
      <c r="B132" s="836"/>
      <c r="C132" s="429" t="s">
        <v>1466</v>
      </c>
      <c r="D132" s="88" t="s">
        <v>1310</v>
      </c>
      <c r="E132" s="88"/>
      <c r="F132" s="88"/>
      <c r="G132" s="88"/>
      <c r="H132" s="88"/>
      <c r="I132" s="88"/>
      <c r="J132" s="101" t="s">
        <v>452</v>
      </c>
      <c r="K132" s="88" t="s">
        <v>160</v>
      </c>
      <c r="L132" s="88"/>
      <c r="M132" s="88"/>
      <c r="N132" s="88"/>
      <c r="O132" s="440" t="s">
        <v>190</v>
      </c>
      <c r="P132" s="841">
        <v>1500</v>
      </c>
      <c r="Q132" s="831" t="s">
        <v>742</v>
      </c>
      <c r="R132" s="789" t="s">
        <v>454</v>
      </c>
      <c r="S132" s="837" t="s">
        <v>611</v>
      </c>
      <c r="T132" s="872" t="s">
        <v>1725</v>
      </c>
    </row>
    <row r="133" spans="2:20" s="40" customFormat="1" ht="15.75" customHeight="1" x14ac:dyDescent="0.2">
      <c r="B133" s="836"/>
      <c r="C133" s="90" t="s">
        <v>1460</v>
      </c>
      <c r="D133" s="13" t="s">
        <v>1334</v>
      </c>
      <c r="E133" s="13"/>
      <c r="F133" s="13"/>
      <c r="G133" s="13"/>
      <c r="H133" s="13" t="s">
        <v>1327</v>
      </c>
      <c r="I133" s="13"/>
      <c r="J133" s="129" t="s">
        <v>452</v>
      </c>
      <c r="K133" s="13" t="s">
        <v>160</v>
      </c>
      <c r="L133" s="13"/>
      <c r="M133" s="13"/>
      <c r="N133" s="13"/>
      <c r="O133" s="13" t="s">
        <v>1463</v>
      </c>
      <c r="P133" s="757"/>
      <c r="Q133" s="832"/>
      <c r="R133" s="790"/>
      <c r="S133" s="838"/>
      <c r="T133" s="873"/>
    </row>
    <row r="134" spans="2:20" s="40" customFormat="1" ht="15.75" customHeight="1" x14ac:dyDescent="0.2">
      <c r="B134" s="836"/>
      <c r="C134" s="90" t="s">
        <v>1458</v>
      </c>
      <c r="D134" s="13" t="s">
        <v>1311</v>
      </c>
      <c r="E134" s="13"/>
      <c r="F134" s="13"/>
      <c r="G134" s="13"/>
      <c r="H134" s="13"/>
      <c r="I134" s="13"/>
      <c r="K134" s="13" t="s">
        <v>160</v>
      </c>
      <c r="L134" s="13"/>
      <c r="M134" s="355"/>
      <c r="N134" s="13"/>
      <c r="O134" s="12" t="s">
        <v>190</v>
      </c>
      <c r="P134" s="757">
        <v>1505</v>
      </c>
      <c r="Q134" s="832"/>
      <c r="R134" s="790"/>
      <c r="S134" s="838"/>
      <c r="T134" s="873"/>
    </row>
    <row r="135" spans="2:20" s="40" customFormat="1" ht="15.75" customHeight="1" thickBot="1" x14ac:dyDescent="0.25">
      <c r="B135" s="836"/>
      <c r="C135" s="571" t="s">
        <v>1462</v>
      </c>
      <c r="D135" s="96" t="s">
        <v>1459</v>
      </c>
      <c r="E135" s="96"/>
      <c r="F135" s="96"/>
      <c r="G135" s="96"/>
      <c r="H135" s="96" t="s">
        <v>1461</v>
      </c>
      <c r="I135" s="96"/>
      <c r="J135" s="370"/>
      <c r="K135" s="96" t="s">
        <v>160</v>
      </c>
      <c r="L135" s="96"/>
      <c r="M135" s="375"/>
      <c r="N135" s="96"/>
      <c r="O135" s="134" t="s">
        <v>259</v>
      </c>
      <c r="P135" s="854"/>
      <c r="Q135" s="833"/>
      <c r="R135" s="791"/>
      <c r="S135" s="839"/>
      <c r="T135" s="874"/>
    </row>
    <row r="136" spans="2:20" s="40" customFormat="1" ht="15.75" customHeight="1" x14ac:dyDescent="0.2">
      <c r="B136" s="836"/>
      <c r="C136" s="568"/>
      <c r="D136" s="109"/>
      <c r="E136" s="464"/>
      <c r="F136" s="464"/>
      <c r="G136" s="190"/>
      <c r="H136" s="190"/>
      <c r="I136" s="190"/>
      <c r="J136" s="569"/>
      <c r="K136" s="190"/>
      <c r="L136" s="190"/>
      <c r="M136" s="570"/>
      <c r="N136" s="316"/>
      <c r="O136" s="565"/>
      <c r="P136" s="131"/>
      <c r="Q136" s="565"/>
      <c r="R136" s="79"/>
      <c r="S136" s="500"/>
      <c r="T136" s="566"/>
    </row>
    <row r="137" spans="2:20" s="40" customFormat="1" ht="15.75" customHeight="1" thickBot="1" x14ac:dyDescent="0.25">
      <c r="B137" s="836"/>
      <c r="C137" s="299"/>
      <c r="D137" s="195"/>
      <c r="E137" s="211"/>
      <c r="F137" s="211"/>
      <c r="G137" s="195"/>
      <c r="H137" s="196"/>
      <c r="I137" s="195"/>
      <c r="J137" s="195"/>
      <c r="K137" s="195"/>
      <c r="L137" s="195"/>
      <c r="M137" s="196"/>
      <c r="N137" s="317"/>
      <c r="O137" s="197"/>
      <c r="P137" s="106"/>
      <c r="Q137" s="149"/>
      <c r="R137" s="196"/>
      <c r="S137" s="196"/>
      <c r="T137" s="196"/>
    </row>
    <row r="138" spans="2:20" s="40" customFormat="1" ht="15.75" customHeight="1" x14ac:dyDescent="0.2">
      <c r="B138" s="836"/>
      <c r="C138" s="87" t="s">
        <v>1454</v>
      </c>
      <c r="D138" s="182" t="s">
        <v>1300</v>
      </c>
      <c r="E138" s="182"/>
      <c r="F138" s="182"/>
      <c r="G138" s="88"/>
      <c r="H138" s="88"/>
      <c r="I138" s="88"/>
      <c r="J138" s="101" t="s">
        <v>452</v>
      </c>
      <c r="K138" s="88" t="s">
        <v>160</v>
      </c>
      <c r="L138" s="88"/>
      <c r="M138" s="88"/>
      <c r="N138" s="304"/>
      <c r="O138" s="110" t="s">
        <v>190</v>
      </c>
      <c r="P138" s="841">
        <v>1493</v>
      </c>
      <c r="Q138" s="831" t="s">
        <v>741</v>
      </c>
      <c r="R138" s="826" t="s">
        <v>459</v>
      </c>
      <c r="S138" s="828" t="s">
        <v>611</v>
      </c>
      <c r="T138" s="868" t="s">
        <v>1726</v>
      </c>
    </row>
    <row r="139" spans="2:20" s="40" customFormat="1" ht="15.75" customHeight="1" x14ac:dyDescent="0.2">
      <c r="B139" s="836"/>
      <c r="C139" s="90" t="s">
        <v>1470</v>
      </c>
      <c r="D139" s="13" t="s">
        <v>1301</v>
      </c>
      <c r="E139" s="183"/>
      <c r="F139" s="183"/>
      <c r="G139" s="13"/>
      <c r="H139" s="13" t="s">
        <v>1328</v>
      </c>
      <c r="I139" s="13"/>
      <c r="J139" s="129" t="s">
        <v>452</v>
      </c>
      <c r="K139" s="109" t="s">
        <v>160</v>
      </c>
      <c r="L139" s="109"/>
      <c r="M139" s="13"/>
      <c r="N139" s="91"/>
      <c r="O139" s="91" t="s">
        <v>259</v>
      </c>
      <c r="P139" s="757"/>
      <c r="Q139" s="832"/>
      <c r="R139" s="753"/>
      <c r="S139" s="829"/>
      <c r="T139" s="869"/>
    </row>
    <row r="140" spans="2:20" s="40" customFormat="1" ht="15.75" customHeight="1" x14ac:dyDescent="0.2">
      <c r="B140" s="836"/>
      <c r="C140" s="90" t="s">
        <v>1445</v>
      </c>
      <c r="D140" s="183" t="s">
        <v>1302</v>
      </c>
      <c r="E140" s="183"/>
      <c r="F140" s="183"/>
      <c r="G140" s="13"/>
      <c r="H140" s="13" t="s">
        <v>1329</v>
      </c>
      <c r="I140" s="13"/>
      <c r="J140" s="129" t="s">
        <v>452</v>
      </c>
      <c r="K140" s="109" t="s">
        <v>160</v>
      </c>
      <c r="L140" s="109"/>
      <c r="M140" s="13"/>
      <c r="N140" s="91"/>
      <c r="O140" s="12" t="s">
        <v>190</v>
      </c>
      <c r="P140" s="842">
        <v>1515</v>
      </c>
      <c r="Q140" s="832"/>
      <c r="R140" s="753"/>
      <c r="S140" s="829"/>
      <c r="T140" s="869"/>
    </row>
    <row r="141" spans="2:20" s="40" customFormat="1" ht="15.75" customHeight="1" x14ac:dyDescent="0.2">
      <c r="B141" s="836"/>
      <c r="C141" s="478" t="s">
        <v>1445</v>
      </c>
      <c r="D141" s="196" t="s">
        <v>1303</v>
      </c>
      <c r="E141" s="479"/>
      <c r="F141" s="479"/>
      <c r="G141" s="196"/>
      <c r="H141" s="196"/>
      <c r="I141" s="196"/>
      <c r="J141" s="196"/>
      <c r="K141" s="196" t="s">
        <v>160</v>
      </c>
      <c r="L141" s="196"/>
      <c r="M141" s="196"/>
      <c r="N141" s="317"/>
      <c r="O141" s="170" t="s">
        <v>259</v>
      </c>
      <c r="P141" s="843"/>
      <c r="Q141" s="832"/>
      <c r="R141" s="753"/>
      <c r="S141" s="829"/>
      <c r="T141" s="869"/>
    </row>
    <row r="142" spans="2:20" s="40" customFormat="1" ht="15.75" customHeight="1" x14ac:dyDescent="0.2">
      <c r="B142" s="836"/>
      <c r="C142" s="575" t="s">
        <v>1964</v>
      </c>
      <c r="D142" s="557" t="s">
        <v>1965</v>
      </c>
      <c r="E142" s="557"/>
      <c r="F142" s="13"/>
      <c r="G142" s="13"/>
      <c r="H142" s="13"/>
      <c r="I142" s="13"/>
      <c r="J142" s="26" t="s">
        <v>667</v>
      </c>
      <c r="K142" s="13"/>
      <c r="L142" s="13"/>
      <c r="M142" s="13"/>
      <c r="N142" s="13"/>
      <c r="O142" s="12" t="s">
        <v>1903</v>
      </c>
      <c r="P142" s="736">
        <v>788895262</v>
      </c>
      <c r="Q142" s="832"/>
      <c r="R142" s="753"/>
      <c r="S142" s="829"/>
      <c r="T142" s="869"/>
    </row>
    <row r="143" spans="2:20" s="40" customFormat="1" ht="15.75" customHeight="1" thickBot="1" x14ac:dyDescent="0.25">
      <c r="B143" s="836"/>
      <c r="C143" s="576"/>
      <c r="D143" s="502" t="s">
        <v>1971</v>
      </c>
      <c r="E143" s="502"/>
      <c r="F143" s="96"/>
      <c r="G143" s="96"/>
      <c r="H143" s="96"/>
      <c r="I143" s="96"/>
      <c r="J143" s="96"/>
      <c r="K143" s="96"/>
      <c r="L143" s="96"/>
      <c r="M143" s="96"/>
      <c r="N143" s="96"/>
      <c r="O143" s="134" t="s">
        <v>1972</v>
      </c>
      <c r="P143" s="835"/>
      <c r="Q143" s="833"/>
      <c r="R143" s="827"/>
      <c r="S143" s="830"/>
      <c r="T143" s="871"/>
    </row>
    <row r="144" spans="2:20" s="40" customFormat="1" ht="15.75" customHeight="1" thickBot="1" x14ac:dyDescent="0.25">
      <c r="B144" s="836"/>
      <c r="C144" s="382"/>
      <c r="D144" s="198"/>
      <c r="E144" s="106"/>
      <c r="F144" s="106"/>
      <c r="G144" s="198"/>
      <c r="H144" s="198"/>
      <c r="I144" s="198"/>
      <c r="J144" s="198"/>
      <c r="K144" s="198"/>
      <c r="L144" s="198"/>
      <c r="M144" s="198"/>
      <c r="N144" s="319"/>
      <c r="O144" s="192"/>
      <c r="P144" s="106"/>
      <c r="Q144" s="106"/>
      <c r="R144" s="190" t="s">
        <v>1970</v>
      </c>
      <c r="S144" s="190"/>
      <c r="T144" s="190"/>
    </row>
    <row r="145" spans="2:20" s="40" customFormat="1" ht="15.75" customHeight="1" x14ac:dyDescent="0.2">
      <c r="B145" s="836"/>
      <c r="C145" s="87" t="s">
        <v>1443</v>
      </c>
      <c r="D145" s="88" t="s">
        <v>1304</v>
      </c>
      <c r="E145" s="88"/>
      <c r="F145" s="88"/>
      <c r="G145" s="88"/>
      <c r="H145" s="88"/>
      <c r="I145" s="88"/>
      <c r="J145" s="101" t="s">
        <v>452</v>
      </c>
      <c r="K145" s="88" t="s">
        <v>160</v>
      </c>
      <c r="L145" s="88"/>
      <c r="M145" s="88"/>
      <c r="N145" s="88"/>
      <c r="O145" s="440" t="s">
        <v>190</v>
      </c>
      <c r="P145" s="841">
        <v>1494</v>
      </c>
      <c r="Q145" s="831" t="s">
        <v>1299</v>
      </c>
      <c r="R145" s="826" t="s">
        <v>459</v>
      </c>
      <c r="S145" s="828" t="s">
        <v>611</v>
      </c>
      <c r="T145" s="872" t="s">
        <v>1727</v>
      </c>
    </row>
    <row r="146" spans="2:20" s="40" customFormat="1" ht="15.75" customHeight="1" x14ac:dyDescent="0.2">
      <c r="B146" s="836"/>
      <c r="C146" s="90" t="s">
        <v>1445</v>
      </c>
      <c r="D146" s="54" t="s">
        <v>1305</v>
      </c>
      <c r="E146" s="54"/>
      <c r="F146" s="13"/>
      <c r="G146" s="13"/>
      <c r="H146" s="13"/>
      <c r="I146" s="13"/>
      <c r="J146" s="129" t="s">
        <v>452</v>
      </c>
      <c r="K146" s="13" t="s">
        <v>160</v>
      </c>
      <c r="L146" s="13"/>
      <c r="M146" s="13"/>
      <c r="N146" s="13"/>
      <c r="O146" s="13" t="s">
        <v>259</v>
      </c>
      <c r="P146" s="757"/>
      <c r="Q146" s="832"/>
      <c r="R146" s="753"/>
      <c r="S146" s="829"/>
      <c r="T146" s="873"/>
    </row>
    <row r="147" spans="2:20" s="40" customFormat="1" ht="15.75" customHeight="1" x14ac:dyDescent="0.2">
      <c r="B147" s="836"/>
      <c r="C147" s="90" t="s">
        <v>1445</v>
      </c>
      <c r="D147" s="13" t="s">
        <v>1968</v>
      </c>
      <c r="E147" s="13"/>
      <c r="F147" s="13"/>
      <c r="G147" s="13"/>
      <c r="H147" s="13"/>
      <c r="I147" s="13"/>
      <c r="J147" s="129" t="s">
        <v>452</v>
      </c>
      <c r="K147" s="13" t="s">
        <v>160</v>
      </c>
      <c r="L147" s="13"/>
      <c r="M147" s="13"/>
      <c r="N147" s="13"/>
      <c r="O147" s="12" t="s">
        <v>190</v>
      </c>
      <c r="P147" s="757">
        <v>1495</v>
      </c>
      <c r="Q147" s="832"/>
      <c r="R147" s="753"/>
      <c r="S147" s="829"/>
      <c r="T147" s="873"/>
    </row>
    <row r="148" spans="2:20" s="40" customFormat="1" ht="15.75" customHeight="1" x14ac:dyDescent="0.2">
      <c r="B148" s="836"/>
      <c r="C148" s="90" t="s">
        <v>1967</v>
      </c>
      <c r="D148" s="13" t="s">
        <v>1966</v>
      </c>
      <c r="E148" s="13"/>
      <c r="F148" s="13"/>
      <c r="G148" s="13"/>
      <c r="H148" s="13"/>
      <c r="I148" s="13"/>
      <c r="J148" s="13"/>
      <c r="K148" s="13" t="s">
        <v>160</v>
      </c>
      <c r="L148" s="13"/>
      <c r="M148" s="13"/>
      <c r="N148" s="13"/>
      <c r="O148" s="12" t="s">
        <v>259</v>
      </c>
      <c r="P148" s="757"/>
      <c r="Q148" s="832"/>
      <c r="R148" s="753"/>
      <c r="S148" s="829"/>
      <c r="T148" s="873"/>
    </row>
    <row r="149" spans="2:20" s="40" customFormat="1" ht="15.75" customHeight="1" x14ac:dyDescent="0.2">
      <c r="B149" s="836"/>
      <c r="C149" s="575" t="s">
        <v>1964</v>
      </c>
      <c r="D149" s="573" t="s">
        <v>1969</v>
      </c>
      <c r="E149" s="573"/>
      <c r="F149" s="13"/>
      <c r="G149" s="13"/>
      <c r="H149" s="13"/>
      <c r="I149" s="13"/>
      <c r="J149" s="26" t="s">
        <v>667</v>
      </c>
      <c r="K149" s="13"/>
      <c r="L149" s="13"/>
      <c r="M149" s="13"/>
      <c r="N149" s="13"/>
      <c r="O149" s="12" t="s">
        <v>1903</v>
      </c>
      <c r="P149" s="736">
        <v>788895255</v>
      </c>
      <c r="Q149" s="832"/>
      <c r="R149" s="753"/>
      <c r="S149" s="829"/>
      <c r="T149" s="873"/>
    </row>
    <row r="150" spans="2:20" s="40" customFormat="1" ht="15.75" customHeight="1" thickBot="1" x14ac:dyDescent="0.25">
      <c r="B150" s="836"/>
      <c r="C150" s="576"/>
      <c r="D150" s="572"/>
      <c r="E150" s="572"/>
      <c r="F150" s="96"/>
      <c r="G150" s="96"/>
      <c r="H150" s="96"/>
      <c r="I150" s="96"/>
      <c r="J150" s="370"/>
      <c r="K150" s="96"/>
      <c r="L150" s="96"/>
      <c r="M150" s="96"/>
      <c r="N150" s="96"/>
      <c r="O150" s="134"/>
      <c r="P150" s="835"/>
      <c r="Q150" s="833"/>
      <c r="R150" s="827"/>
      <c r="S150" s="830"/>
      <c r="T150" s="567"/>
    </row>
    <row r="151" spans="2:20" s="40" customFormat="1" ht="15.75" customHeight="1" thickBot="1" x14ac:dyDescent="0.25">
      <c r="B151" s="836"/>
      <c r="C151" s="213"/>
      <c r="D151" s="109"/>
      <c r="E151" s="21"/>
      <c r="F151" s="106"/>
      <c r="G151" s="109"/>
      <c r="H151" s="109"/>
      <c r="I151" s="109"/>
      <c r="J151" s="199"/>
      <c r="K151" s="199"/>
      <c r="L151" s="199"/>
      <c r="M151" s="200"/>
      <c r="N151" s="193"/>
      <c r="O151" s="201"/>
      <c r="P151" s="106"/>
      <c r="Q151" s="106"/>
      <c r="R151" s="109"/>
      <c r="S151" s="109"/>
      <c r="T151" s="109"/>
    </row>
    <row r="152" spans="2:20" s="40" customFormat="1" ht="15.75" customHeight="1" x14ac:dyDescent="0.2">
      <c r="B152" s="836"/>
      <c r="C152" s="87" t="s">
        <v>1445</v>
      </c>
      <c r="D152" s="182" t="s">
        <v>1306</v>
      </c>
      <c r="E152" s="182"/>
      <c r="F152" s="182"/>
      <c r="G152" s="88"/>
      <c r="H152" s="88"/>
      <c r="I152" s="182" t="s">
        <v>1473</v>
      </c>
      <c r="J152" s="369"/>
      <c r="K152" s="194" t="s">
        <v>160</v>
      </c>
      <c r="L152" s="194"/>
      <c r="M152" s="88"/>
      <c r="N152" s="304"/>
      <c r="O152" s="110" t="s">
        <v>190</v>
      </c>
      <c r="P152" s="834">
        <v>506</v>
      </c>
      <c r="Q152" s="831" t="s">
        <v>740</v>
      </c>
      <c r="R152" s="789" t="s">
        <v>454</v>
      </c>
      <c r="S152" s="828" t="s">
        <v>611</v>
      </c>
      <c r="T152" s="868" t="s">
        <v>1727</v>
      </c>
    </row>
    <row r="153" spans="2:20" s="40" customFormat="1" ht="15.75" customHeight="1" x14ac:dyDescent="0.2">
      <c r="B153" s="836"/>
      <c r="C153" s="186" t="s">
        <v>1455</v>
      </c>
      <c r="D153" s="183" t="s">
        <v>1307</v>
      </c>
      <c r="E153" s="183"/>
      <c r="F153" s="183"/>
      <c r="G153" s="13"/>
      <c r="H153" s="13"/>
      <c r="I153" s="13"/>
      <c r="J153" s="5"/>
      <c r="K153" s="13" t="s">
        <v>160</v>
      </c>
      <c r="L153" s="13"/>
      <c r="M153" s="13"/>
      <c r="N153" s="13"/>
      <c r="O153" s="91" t="s">
        <v>259</v>
      </c>
      <c r="P153" s="738"/>
      <c r="Q153" s="832"/>
      <c r="R153" s="790"/>
      <c r="S153" s="829"/>
      <c r="T153" s="869"/>
    </row>
    <row r="154" spans="2:20" s="40" customFormat="1" ht="15.75" customHeight="1" x14ac:dyDescent="0.2">
      <c r="B154" s="836"/>
      <c r="C154" s="90"/>
      <c r="D154" s="210" t="s">
        <v>183</v>
      </c>
      <c r="E154" s="210"/>
      <c r="F154" s="183"/>
      <c r="G154" s="13"/>
      <c r="H154" s="13" t="s">
        <v>1480</v>
      </c>
      <c r="I154" s="13" t="s">
        <v>1481</v>
      </c>
      <c r="J154" s="129" t="s">
        <v>452</v>
      </c>
      <c r="K154" s="109" t="s">
        <v>160</v>
      </c>
      <c r="L154" s="109"/>
      <c r="M154" s="13"/>
      <c r="N154" s="13"/>
      <c r="O154" s="12" t="s">
        <v>190</v>
      </c>
      <c r="P154" s="736">
        <v>488</v>
      </c>
      <c r="Q154" s="832"/>
      <c r="R154" s="790"/>
      <c r="S154" s="829"/>
      <c r="T154" s="869"/>
    </row>
    <row r="155" spans="2:20" s="40" customFormat="1" ht="15.75" customHeight="1" thickBot="1" x14ac:dyDescent="0.25">
      <c r="B155" s="836"/>
      <c r="C155" s="94"/>
      <c r="D155" s="184"/>
      <c r="E155" s="184"/>
      <c r="F155" s="184"/>
      <c r="G155" s="96"/>
      <c r="H155" s="96"/>
      <c r="I155" s="96"/>
      <c r="J155" s="103"/>
      <c r="K155" s="96"/>
      <c r="L155" s="96"/>
      <c r="M155" s="96"/>
      <c r="N155" s="96"/>
      <c r="O155" s="189"/>
      <c r="P155" s="835"/>
      <c r="Q155" s="833"/>
      <c r="R155" s="791"/>
      <c r="S155" s="830"/>
      <c r="T155" s="870"/>
    </row>
    <row r="156" spans="2:20" s="40" customFormat="1" ht="15.75" customHeight="1" thickBot="1" x14ac:dyDescent="0.25">
      <c r="B156" s="836"/>
      <c r="C156" s="46"/>
      <c r="D156" s="54"/>
      <c r="E156" s="106"/>
      <c r="F156" s="106"/>
      <c r="G156" s="202"/>
      <c r="H156" s="202"/>
      <c r="I156" s="202"/>
      <c r="J156" s="202"/>
      <c r="K156" s="202"/>
      <c r="L156" s="202"/>
      <c r="M156" s="202"/>
      <c r="N156" s="320"/>
      <c r="O156" s="203"/>
      <c r="P156" s="106"/>
      <c r="Q156" s="106"/>
      <c r="R156" s="196"/>
      <c r="S156" s="196"/>
      <c r="T156" s="196"/>
    </row>
    <row r="157" spans="2:20" s="40" customFormat="1" ht="15.75" customHeight="1" x14ac:dyDescent="0.2">
      <c r="B157" s="836"/>
      <c r="C157" s="428" t="s">
        <v>1467</v>
      </c>
      <c r="D157" s="182" t="s">
        <v>1331</v>
      </c>
      <c r="E157" s="182"/>
      <c r="F157" s="182"/>
      <c r="G157" s="88"/>
      <c r="H157" s="88" t="s">
        <v>1327</v>
      </c>
      <c r="I157" s="88"/>
      <c r="J157" s="101" t="s">
        <v>452</v>
      </c>
      <c r="K157" s="88" t="s">
        <v>160</v>
      </c>
      <c r="L157" s="88"/>
      <c r="M157" s="88"/>
      <c r="N157" s="304"/>
      <c r="O157" s="110" t="s">
        <v>190</v>
      </c>
      <c r="P157" s="834">
        <v>788891503</v>
      </c>
      <c r="Q157" s="831" t="s">
        <v>1240</v>
      </c>
      <c r="R157" s="789" t="s">
        <v>967</v>
      </c>
      <c r="S157" s="828" t="s">
        <v>611</v>
      </c>
      <c r="T157" s="868" t="s">
        <v>1728</v>
      </c>
    </row>
    <row r="158" spans="2:20" s="40" customFormat="1" ht="15.75" customHeight="1" x14ac:dyDescent="0.2">
      <c r="B158" s="836"/>
      <c r="C158" s="90" t="s">
        <v>1466</v>
      </c>
      <c r="D158" s="183" t="s">
        <v>1309</v>
      </c>
      <c r="E158" s="183"/>
      <c r="F158" s="183"/>
      <c r="G158" s="13"/>
      <c r="H158" s="13"/>
      <c r="I158" s="13"/>
      <c r="J158" s="129" t="s">
        <v>452</v>
      </c>
      <c r="K158" s="109" t="s">
        <v>160</v>
      </c>
      <c r="L158" s="109"/>
      <c r="M158" s="13"/>
      <c r="N158" s="13"/>
      <c r="O158" s="91" t="s">
        <v>259</v>
      </c>
      <c r="P158" s="737"/>
      <c r="Q158" s="832"/>
      <c r="R158" s="790"/>
      <c r="S158" s="829"/>
      <c r="T158" s="869"/>
    </row>
    <row r="159" spans="2:20" s="40" customFormat="1" ht="15.75" customHeight="1" x14ac:dyDescent="0.2">
      <c r="B159" s="836"/>
      <c r="C159" s="90" t="s">
        <v>1465</v>
      </c>
      <c r="D159" s="210" t="s">
        <v>1308</v>
      </c>
      <c r="E159" s="210"/>
      <c r="F159" s="183"/>
      <c r="G159" s="13"/>
      <c r="H159" s="13"/>
      <c r="I159" s="13"/>
      <c r="J159" s="129" t="s">
        <v>452</v>
      </c>
      <c r="K159" s="64" t="s">
        <v>49</v>
      </c>
      <c r="L159" s="64"/>
      <c r="M159" s="355" t="s">
        <v>1332</v>
      </c>
      <c r="N159" s="13"/>
      <c r="O159" s="12" t="s">
        <v>1464</v>
      </c>
      <c r="P159" s="737"/>
      <c r="Q159" s="832"/>
      <c r="R159" s="790"/>
      <c r="S159" s="829"/>
      <c r="T159" s="869"/>
    </row>
    <row r="160" spans="2:20" s="40" customFormat="1" ht="15.75" customHeight="1" thickBot="1" x14ac:dyDescent="0.25">
      <c r="B160" s="836"/>
      <c r="C160" s="94"/>
      <c r="D160" s="184"/>
      <c r="E160" s="184"/>
      <c r="F160" s="184"/>
      <c r="G160" s="96"/>
      <c r="H160" s="96"/>
      <c r="I160" s="96"/>
      <c r="J160" s="370"/>
      <c r="K160" s="96"/>
      <c r="L160" s="96"/>
      <c r="M160" s="96"/>
      <c r="N160" s="96"/>
      <c r="O160" s="189"/>
      <c r="P160" s="835"/>
      <c r="Q160" s="833"/>
      <c r="R160" s="791"/>
      <c r="S160" s="840"/>
      <c r="T160" s="870"/>
    </row>
    <row r="161" spans="2:22" s="40" customFormat="1" ht="15.75" customHeight="1" thickBot="1" x14ac:dyDescent="0.25">
      <c r="B161" s="374"/>
      <c r="C161" s="21"/>
      <c r="D161" s="21"/>
      <c r="E161" s="21"/>
      <c r="F161" s="21"/>
      <c r="G161" s="21"/>
      <c r="H161" s="21"/>
      <c r="I161" s="21"/>
      <c r="J161" s="378"/>
      <c r="K161" s="21"/>
      <c r="L161" s="21"/>
      <c r="M161" s="21"/>
      <c r="N161" s="21"/>
      <c r="O161" s="126"/>
      <c r="P161" s="124"/>
      <c r="Q161" s="20"/>
      <c r="R161" s="20"/>
      <c r="S161" s="324"/>
      <c r="T161" s="21"/>
    </row>
    <row r="162" spans="2:22" s="40" customFormat="1" ht="15.5" customHeight="1" x14ac:dyDescent="0.2">
      <c r="B162" s="851">
        <v>45596</v>
      </c>
      <c r="C162" s="87" t="s">
        <v>1684</v>
      </c>
      <c r="D162" s="88" t="s">
        <v>1530</v>
      </c>
      <c r="E162" s="88"/>
      <c r="F162" s="88"/>
      <c r="G162" s="304"/>
      <c r="H162" s="88"/>
      <c r="I162" s="45"/>
      <c r="J162" s="182" t="s">
        <v>160</v>
      </c>
      <c r="K162" s="439"/>
      <c r="L162" s="439"/>
      <c r="M162" s="194" t="s">
        <v>1689</v>
      </c>
      <c r="N162" s="230"/>
      <c r="O162" s="110" t="s">
        <v>1682</v>
      </c>
      <c r="P162" s="834">
        <v>542082568</v>
      </c>
      <c r="Q162" s="831" t="s">
        <v>516</v>
      </c>
      <c r="R162" s="826" t="s">
        <v>1547</v>
      </c>
      <c r="S162" s="828" t="s">
        <v>610</v>
      </c>
      <c r="T162" s="810"/>
    </row>
    <row r="163" spans="2:22" s="40" customFormat="1" ht="15.5" customHeight="1" x14ac:dyDescent="0.2">
      <c r="B163" s="851"/>
      <c r="C163" s="186" t="s">
        <v>1685</v>
      </c>
      <c r="D163" s="13" t="s">
        <v>218</v>
      </c>
      <c r="E163" s="13"/>
      <c r="F163" s="13"/>
      <c r="G163" s="91"/>
      <c r="H163" s="99"/>
      <c r="I163" s="45"/>
      <c r="J163" s="463" t="s">
        <v>49</v>
      </c>
      <c r="K163" s="5"/>
      <c r="L163" s="5"/>
      <c r="M163" s="13" t="s">
        <v>1690</v>
      </c>
      <c r="N163" s="45"/>
      <c r="O163" s="13" t="s">
        <v>1683</v>
      </c>
      <c r="P163" s="737"/>
      <c r="Q163" s="832"/>
      <c r="R163" s="753"/>
      <c r="S163" s="829"/>
      <c r="T163" s="811"/>
    </row>
    <row r="164" spans="2:22" s="40" customFormat="1" ht="136" x14ac:dyDescent="0.2">
      <c r="B164" s="851"/>
      <c r="C164" s="90" t="s">
        <v>1684</v>
      </c>
      <c r="D164" s="54" t="s">
        <v>1666</v>
      </c>
      <c r="E164" s="54"/>
      <c r="F164" s="13"/>
      <c r="G164" s="91"/>
      <c r="H164" s="38" t="s">
        <v>1715</v>
      </c>
      <c r="I164" s="45"/>
      <c r="J164" s="463" t="s">
        <v>49</v>
      </c>
      <c r="K164" s="5"/>
      <c r="L164" s="5"/>
      <c r="M164" s="43" t="s">
        <v>1691</v>
      </c>
      <c r="N164" s="13" t="s">
        <v>1677</v>
      </c>
      <c r="O164" s="13" t="s">
        <v>1671</v>
      </c>
      <c r="P164" s="737"/>
      <c r="Q164" s="832"/>
      <c r="R164" s="753"/>
      <c r="S164" s="829"/>
      <c r="T164" s="811"/>
    </row>
    <row r="165" spans="2:22" s="40" customFormat="1" ht="120" thickBot="1" x14ac:dyDescent="0.25">
      <c r="B165" s="851"/>
      <c r="C165" s="94" t="s">
        <v>1684</v>
      </c>
      <c r="D165" s="96" t="s">
        <v>1667</v>
      </c>
      <c r="E165" s="96"/>
      <c r="F165" s="96"/>
      <c r="G165" s="95"/>
      <c r="H165" s="38" t="s">
        <v>1716</v>
      </c>
      <c r="I165" s="45"/>
      <c r="J165" s="463" t="s">
        <v>49</v>
      </c>
      <c r="K165" s="103"/>
      <c r="L165" s="103"/>
      <c r="M165" s="96" t="s">
        <v>1691</v>
      </c>
      <c r="N165" s="96" t="s">
        <v>1676</v>
      </c>
      <c r="O165" s="189" t="s">
        <v>1672</v>
      </c>
      <c r="P165" s="835"/>
      <c r="Q165" s="833"/>
      <c r="R165" s="827"/>
      <c r="S165" s="830"/>
      <c r="T165" s="812"/>
    </row>
    <row r="166" spans="2:22" s="40" customFormat="1" ht="16.25" customHeight="1" thickBot="1" x14ac:dyDescent="0.25">
      <c r="B166" s="851"/>
      <c r="C166" s="382"/>
      <c r="D166" s="190"/>
      <c r="E166" s="21"/>
      <c r="F166" s="106"/>
      <c r="G166" s="316"/>
      <c r="H166" s="190"/>
      <c r="I166" s="45"/>
      <c r="J166" s="464"/>
      <c r="K166" s="190"/>
      <c r="L166" s="190"/>
      <c r="M166" s="190"/>
      <c r="N166" s="316"/>
      <c r="O166" s="191"/>
      <c r="P166" s="106"/>
      <c r="Q166" s="106"/>
      <c r="R166" s="190"/>
      <c r="S166" s="190"/>
      <c r="T166" s="190"/>
    </row>
    <row r="167" spans="2:22" s="40" customFormat="1" ht="15.5" customHeight="1" x14ac:dyDescent="0.2">
      <c r="B167" s="851"/>
      <c r="C167" s="87" t="s">
        <v>953</v>
      </c>
      <c r="D167" s="88" t="s">
        <v>222</v>
      </c>
      <c r="E167" s="88"/>
      <c r="F167" s="88"/>
      <c r="G167" s="304"/>
      <c r="H167" s="88"/>
      <c r="I167" s="45"/>
      <c r="J167" s="465" t="s">
        <v>49</v>
      </c>
      <c r="K167" s="438"/>
      <c r="L167" s="438"/>
      <c r="M167" s="442" t="s">
        <v>1718</v>
      </c>
      <c r="N167" s="88"/>
      <c r="O167" s="88" t="s">
        <v>1668</v>
      </c>
      <c r="P167" s="841">
        <v>788891487</v>
      </c>
      <c r="Q167" s="787" t="s">
        <v>517</v>
      </c>
      <c r="R167" s="789" t="s">
        <v>454</v>
      </c>
      <c r="S167" s="828" t="s">
        <v>611</v>
      </c>
      <c r="T167" s="868" t="s">
        <v>1729</v>
      </c>
    </row>
    <row r="168" spans="2:22" s="40" customFormat="1" ht="15.5" customHeight="1" x14ac:dyDescent="0.2">
      <c r="B168" s="851"/>
      <c r="C168" s="186" t="s">
        <v>953</v>
      </c>
      <c r="D168" s="13" t="s">
        <v>222</v>
      </c>
      <c r="E168" s="13"/>
      <c r="F168" s="13"/>
      <c r="G168" s="91"/>
      <c r="H168" s="45"/>
      <c r="I168" s="45"/>
      <c r="J168" s="183"/>
      <c r="K168" s="441" t="s">
        <v>160</v>
      </c>
      <c r="L168" s="441"/>
      <c r="M168" s="54" t="s">
        <v>1719</v>
      </c>
      <c r="N168" s="13"/>
      <c r="O168" s="13" t="s">
        <v>1669</v>
      </c>
      <c r="P168" s="757"/>
      <c r="Q168" s="769"/>
      <c r="R168" s="790"/>
      <c r="S168" s="829"/>
      <c r="T168" s="869"/>
    </row>
    <row r="169" spans="2:22" s="40" customFormat="1" ht="15.5" customHeight="1" x14ac:dyDescent="0.2">
      <c r="B169" s="851"/>
      <c r="C169" s="90" t="s">
        <v>1687</v>
      </c>
      <c r="D169" s="54" t="s">
        <v>220</v>
      </c>
      <c r="E169" s="54"/>
      <c r="F169" s="13"/>
      <c r="G169" s="91"/>
      <c r="H169" s="355"/>
      <c r="I169" s="45"/>
      <c r="J169" s="463" t="s">
        <v>49</v>
      </c>
      <c r="K169" s="129" t="s">
        <v>452</v>
      </c>
      <c r="L169" s="129"/>
      <c r="M169" s="54" t="s">
        <v>1564</v>
      </c>
      <c r="N169" s="13"/>
      <c r="O169" s="99" t="s">
        <v>1281</v>
      </c>
      <c r="P169" s="757">
        <v>788891498</v>
      </c>
      <c r="Q169" s="769"/>
      <c r="R169" s="790"/>
      <c r="S169" s="829"/>
      <c r="T169" s="869"/>
    </row>
    <row r="170" spans="2:22" s="40" customFormat="1" ht="16.25" customHeight="1" thickBot="1" x14ac:dyDescent="0.25">
      <c r="B170" s="851"/>
      <c r="C170" s="94" t="s">
        <v>1687</v>
      </c>
      <c r="D170" s="96" t="s">
        <v>1678</v>
      </c>
      <c r="E170" s="96"/>
      <c r="F170" s="96"/>
      <c r="G170" s="95"/>
      <c r="H170" s="96"/>
      <c r="I170" s="45"/>
      <c r="J170" s="463" t="s">
        <v>49</v>
      </c>
      <c r="K170" s="103"/>
      <c r="L170" s="103"/>
      <c r="M170" s="96" t="s">
        <v>1692</v>
      </c>
      <c r="N170" s="96"/>
      <c r="O170" s="189" t="s">
        <v>1679</v>
      </c>
      <c r="P170" s="854"/>
      <c r="Q170" s="788"/>
      <c r="R170" s="791"/>
      <c r="S170" s="840"/>
      <c r="T170" s="870"/>
    </row>
    <row r="171" spans="2:22" s="40" customFormat="1" ht="16.25" customHeight="1" thickBot="1" x14ac:dyDescent="0.25">
      <c r="B171" s="851"/>
      <c r="C171" s="382"/>
      <c r="D171" s="190"/>
      <c r="E171" s="21"/>
      <c r="F171" s="106"/>
      <c r="G171" s="316"/>
      <c r="H171" s="190"/>
      <c r="I171" s="45"/>
      <c r="J171" s="464"/>
      <c r="K171" s="190"/>
      <c r="L171" s="190"/>
      <c r="M171" s="190"/>
      <c r="N171" s="316"/>
      <c r="O171" s="192"/>
      <c r="P171" s="106"/>
      <c r="Q171" s="106"/>
      <c r="R171" s="190"/>
      <c r="S171" s="190"/>
      <c r="T171" s="190"/>
    </row>
    <row r="172" spans="2:22" s="40" customFormat="1" ht="15.5" customHeight="1" x14ac:dyDescent="0.2">
      <c r="B172" s="851"/>
      <c r="C172" s="87" t="s">
        <v>953</v>
      </c>
      <c r="D172" s="88" t="s">
        <v>1531</v>
      </c>
      <c r="E172" s="88"/>
      <c r="F172" s="88"/>
      <c r="G172" s="304"/>
      <c r="H172" s="88"/>
      <c r="I172" s="45"/>
      <c r="J172" s="465" t="s">
        <v>49</v>
      </c>
      <c r="K172" s="438"/>
      <c r="L172" s="438"/>
      <c r="M172" s="442" t="s">
        <v>1720</v>
      </c>
      <c r="N172" s="88"/>
      <c r="O172" s="88" t="s">
        <v>197</v>
      </c>
      <c r="P172" s="841">
        <v>788891508</v>
      </c>
      <c r="Q172" s="787" t="s">
        <v>1649</v>
      </c>
      <c r="R172" s="789" t="s">
        <v>454</v>
      </c>
      <c r="S172" s="828" t="s">
        <v>611</v>
      </c>
      <c r="T172" s="868" t="s">
        <v>1730</v>
      </c>
    </row>
    <row r="173" spans="2:22" s="40" customFormat="1" ht="15.5" customHeight="1" x14ac:dyDescent="0.2">
      <c r="B173" s="851"/>
      <c r="C173" s="186" t="s">
        <v>953</v>
      </c>
      <c r="D173" s="13" t="s">
        <v>1531</v>
      </c>
      <c r="E173" s="13"/>
      <c r="F173" s="13"/>
      <c r="G173" s="91"/>
      <c r="H173" s="13"/>
      <c r="I173" s="45"/>
      <c r="J173" s="183"/>
      <c r="K173" s="441" t="s">
        <v>160</v>
      </c>
      <c r="L173" s="441"/>
      <c r="M173" s="54" t="s">
        <v>1721</v>
      </c>
      <c r="N173" s="13"/>
      <c r="O173" s="13" t="s">
        <v>1686</v>
      </c>
      <c r="P173" s="757"/>
      <c r="Q173" s="769"/>
      <c r="R173" s="790"/>
      <c r="S173" s="829"/>
      <c r="T173" s="869"/>
    </row>
    <row r="174" spans="2:22" s="40" customFormat="1" ht="15.5" customHeight="1" x14ac:dyDescent="0.2">
      <c r="B174" s="851"/>
      <c r="C174" s="90" t="s">
        <v>1687</v>
      </c>
      <c r="D174" s="54" t="s">
        <v>1532</v>
      </c>
      <c r="E174" s="54"/>
      <c r="F174" s="13"/>
      <c r="G174" s="91"/>
      <c r="H174" s="13"/>
      <c r="I174" s="45"/>
      <c r="J174" s="463" t="s">
        <v>49</v>
      </c>
      <c r="K174" s="129" t="s">
        <v>452</v>
      </c>
      <c r="L174" s="129"/>
      <c r="M174" s="54" t="s">
        <v>1564</v>
      </c>
      <c r="N174" s="13"/>
      <c r="O174" s="99" t="s">
        <v>1281</v>
      </c>
      <c r="P174" s="757">
        <v>788891486</v>
      </c>
      <c r="Q174" s="769"/>
      <c r="R174" s="790"/>
      <c r="S174" s="829"/>
      <c r="T174" s="869"/>
      <c r="V174" s="102"/>
    </row>
    <row r="175" spans="2:22" s="40" customFormat="1" ht="16.25" customHeight="1" thickBot="1" x14ac:dyDescent="0.25">
      <c r="B175" s="851"/>
      <c r="C175" s="94"/>
      <c r="D175" s="96"/>
      <c r="E175" s="96"/>
      <c r="F175" s="96"/>
      <c r="G175" s="95"/>
      <c r="H175" s="96"/>
      <c r="I175" s="45"/>
      <c r="J175" s="184"/>
      <c r="K175" s="103"/>
      <c r="L175" s="103"/>
      <c r="M175" s="96"/>
      <c r="N175" s="96"/>
      <c r="O175" s="189"/>
      <c r="P175" s="854"/>
      <c r="Q175" s="788"/>
      <c r="R175" s="791"/>
      <c r="S175" s="840"/>
      <c r="T175" s="870"/>
    </row>
    <row r="176" spans="2:22" s="40" customFormat="1" ht="16.25" customHeight="1" thickBot="1" x14ac:dyDescent="0.25">
      <c r="B176" s="851"/>
      <c r="C176" s="213"/>
      <c r="D176" s="109"/>
      <c r="E176" s="21"/>
      <c r="F176" s="21"/>
      <c r="G176" s="21"/>
      <c r="H176" s="21"/>
      <c r="I176" s="45"/>
      <c r="J176" s="21"/>
      <c r="K176" s="136"/>
      <c r="L176" s="136"/>
      <c r="M176" s="136"/>
      <c r="N176" s="21"/>
      <c r="O176" s="178"/>
      <c r="P176" s="124"/>
      <c r="Q176" s="20"/>
      <c r="R176" s="20"/>
      <c r="S176" s="21"/>
      <c r="T176" s="21"/>
    </row>
    <row r="177" spans="2:20" s="40" customFormat="1" ht="15.5" customHeight="1" x14ac:dyDescent="0.2">
      <c r="B177" s="851"/>
      <c r="C177" s="90" t="s">
        <v>1687</v>
      </c>
      <c r="D177" s="88" t="s">
        <v>224</v>
      </c>
      <c r="E177" s="88"/>
      <c r="F177" s="88"/>
      <c r="G177" s="304"/>
      <c r="H177" s="88"/>
      <c r="I177" s="45"/>
      <c r="J177" s="182" t="s">
        <v>160</v>
      </c>
      <c r="K177" s="129" t="s">
        <v>452</v>
      </c>
      <c r="L177" s="636"/>
      <c r="M177" s="194" t="s">
        <v>1562</v>
      </c>
      <c r="N177" s="88"/>
      <c r="O177" s="440" t="s">
        <v>190</v>
      </c>
      <c r="P177" s="841">
        <v>788893241</v>
      </c>
      <c r="Q177" s="787" t="s">
        <v>1529</v>
      </c>
      <c r="R177" s="789" t="s">
        <v>454</v>
      </c>
      <c r="S177" s="828" t="s">
        <v>611</v>
      </c>
      <c r="T177" s="868" t="s">
        <v>1731</v>
      </c>
    </row>
    <row r="178" spans="2:20" s="40" customFormat="1" ht="15.5" customHeight="1" x14ac:dyDescent="0.2">
      <c r="B178" s="851"/>
      <c r="C178" s="186"/>
      <c r="D178" s="54"/>
      <c r="E178" s="54"/>
      <c r="F178" s="13"/>
      <c r="G178" s="91"/>
      <c r="H178" s="13"/>
      <c r="I178" s="45"/>
      <c r="J178" s="210"/>
      <c r="K178" s="54"/>
      <c r="L178" s="54"/>
      <c r="M178" s="443"/>
      <c r="N178" s="13"/>
      <c r="O178" s="51"/>
      <c r="P178" s="757"/>
      <c r="Q178" s="769"/>
      <c r="R178" s="790"/>
      <c r="S178" s="829"/>
      <c r="T178" s="869"/>
    </row>
    <row r="179" spans="2:20" s="40" customFormat="1" ht="15.5" customHeight="1" x14ac:dyDescent="0.2">
      <c r="B179" s="851"/>
      <c r="C179" s="90" t="s">
        <v>1687</v>
      </c>
      <c r="D179" s="13" t="s">
        <v>1533</v>
      </c>
      <c r="E179" s="13"/>
      <c r="F179" s="13"/>
      <c r="G179" s="91"/>
      <c r="H179" s="13"/>
      <c r="I179" s="46" t="s">
        <v>1814</v>
      </c>
      <c r="J179" s="183" t="s">
        <v>160</v>
      </c>
      <c r="K179" s="13" t="s">
        <v>160</v>
      </c>
      <c r="L179" s="13"/>
      <c r="M179" s="187" t="s">
        <v>1563</v>
      </c>
      <c r="N179" s="13"/>
      <c r="O179" s="99" t="s">
        <v>1559</v>
      </c>
      <c r="P179" s="757">
        <v>788891514</v>
      </c>
      <c r="Q179" s="769"/>
      <c r="R179" s="790"/>
      <c r="S179" s="829"/>
      <c r="T179" s="869"/>
    </row>
    <row r="180" spans="2:20" s="40" customFormat="1" ht="16.25" customHeight="1" thickBot="1" x14ac:dyDescent="0.25">
      <c r="B180" s="851"/>
      <c r="C180" s="94"/>
      <c r="D180" s="96"/>
      <c r="E180" s="96"/>
      <c r="F180" s="96"/>
      <c r="G180" s="95"/>
      <c r="H180" s="96"/>
      <c r="I180" s="45"/>
      <c r="J180" s="184"/>
      <c r="K180" s="103"/>
      <c r="L180" s="103"/>
      <c r="M180" s="96"/>
      <c r="N180" s="96"/>
      <c r="O180" s="189"/>
      <c r="P180" s="854"/>
      <c r="Q180" s="788"/>
      <c r="R180" s="791"/>
      <c r="S180" s="840"/>
      <c r="T180" s="870"/>
    </row>
    <row r="181" spans="2:20" s="40" customFormat="1" ht="16.25" customHeight="1" thickBot="1" x14ac:dyDescent="0.25">
      <c r="B181" s="851"/>
      <c r="C181" s="46"/>
      <c r="D181" s="13"/>
      <c r="E181" s="21"/>
      <c r="F181" s="106"/>
      <c r="G181" s="193"/>
      <c r="H181" s="109"/>
      <c r="I181" s="45"/>
      <c r="J181" s="409"/>
      <c r="K181" s="109"/>
      <c r="L181" s="109"/>
      <c r="M181" s="109"/>
      <c r="N181" s="193"/>
      <c r="O181" s="193"/>
      <c r="P181" s="233"/>
      <c r="Q181" s="106"/>
      <c r="R181" s="190"/>
      <c r="S181" s="190"/>
      <c r="T181" s="190"/>
    </row>
    <row r="182" spans="2:20" s="40" customFormat="1" ht="15.5" customHeight="1" x14ac:dyDescent="0.2">
      <c r="B182" s="851"/>
      <c r="C182" s="87"/>
      <c r="D182" s="88" t="s">
        <v>1535</v>
      </c>
      <c r="E182" s="88"/>
      <c r="F182" s="88"/>
      <c r="G182" s="304"/>
      <c r="H182" s="88"/>
      <c r="I182" s="45"/>
      <c r="J182" s="465" t="s">
        <v>49</v>
      </c>
      <c r="K182" s="438"/>
      <c r="L182" s="438"/>
      <c r="M182" s="442" t="s">
        <v>1722</v>
      </c>
      <c r="N182" s="88"/>
      <c r="O182" s="88" t="s">
        <v>1558</v>
      </c>
      <c r="P182" s="841">
        <v>788891507</v>
      </c>
      <c r="Q182" s="787" t="s">
        <v>1650</v>
      </c>
      <c r="R182" s="789" t="s">
        <v>454</v>
      </c>
      <c r="S182" s="828" t="s">
        <v>611</v>
      </c>
      <c r="T182" s="868" t="s">
        <v>1732</v>
      </c>
    </row>
    <row r="183" spans="2:20" s="40" customFormat="1" ht="15.5" customHeight="1" x14ac:dyDescent="0.2">
      <c r="B183" s="851"/>
      <c r="C183" s="186"/>
      <c r="D183" s="54" t="s">
        <v>1535</v>
      </c>
      <c r="E183" s="54"/>
      <c r="F183" s="13"/>
      <c r="G183" s="91"/>
      <c r="H183" s="13"/>
      <c r="I183" s="45"/>
      <c r="J183" s="183"/>
      <c r="K183" s="441" t="s">
        <v>160</v>
      </c>
      <c r="L183" s="441"/>
      <c r="M183" s="54" t="s">
        <v>1723</v>
      </c>
      <c r="N183" s="13"/>
      <c r="O183" s="13" t="s">
        <v>1567</v>
      </c>
      <c r="P183" s="757"/>
      <c r="Q183" s="769"/>
      <c r="R183" s="790"/>
      <c r="S183" s="829"/>
      <c r="T183" s="869"/>
    </row>
    <row r="184" spans="2:20" s="40" customFormat="1" ht="15.5" customHeight="1" x14ac:dyDescent="0.2">
      <c r="B184" s="851"/>
      <c r="C184" s="90"/>
      <c r="D184" s="13" t="s">
        <v>1534</v>
      </c>
      <c r="E184" s="13"/>
      <c r="F184" s="13"/>
      <c r="G184" s="91"/>
      <c r="H184" s="13"/>
      <c r="I184" s="45"/>
      <c r="J184" s="463" t="s">
        <v>49</v>
      </c>
      <c r="K184" s="129" t="s">
        <v>452</v>
      </c>
      <c r="L184" s="129"/>
      <c r="M184" s="54" t="s">
        <v>1564</v>
      </c>
      <c r="N184" s="13"/>
      <c r="O184" s="99" t="s">
        <v>1565</v>
      </c>
      <c r="P184" s="757">
        <v>788891518</v>
      </c>
      <c r="Q184" s="769"/>
      <c r="R184" s="790"/>
      <c r="S184" s="829"/>
      <c r="T184" s="869"/>
    </row>
    <row r="185" spans="2:20" s="40" customFormat="1" ht="16.25" customHeight="1" thickBot="1" x14ac:dyDescent="0.25">
      <c r="B185" s="851"/>
      <c r="C185" s="94"/>
      <c r="D185" s="96"/>
      <c r="E185" s="96"/>
      <c r="F185" s="96"/>
      <c r="G185" s="95"/>
      <c r="H185" s="96"/>
      <c r="I185" s="45"/>
      <c r="J185" s="184"/>
      <c r="K185" s="103"/>
      <c r="L185" s="103"/>
      <c r="M185" s="96"/>
      <c r="N185" s="96"/>
      <c r="O185" s="189"/>
      <c r="P185" s="854"/>
      <c r="Q185" s="788"/>
      <c r="R185" s="791"/>
      <c r="S185" s="840"/>
      <c r="T185" s="870"/>
    </row>
    <row r="186" spans="2:20" s="40" customFormat="1" ht="16.25" customHeight="1" thickBot="1" x14ac:dyDescent="0.25">
      <c r="B186" s="851"/>
      <c r="C186" s="46"/>
      <c r="D186" s="84"/>
      <c r="E186" s="211"/>
      <c r="F186" s="211"/>
      <c r="G186" s="462"/>
      <c r="H186" s="196"/>
      <c r="I186" s="45"/>
      <c r="J186" s="211"/>
      <c r="K186" s="195"/>
      <c r="L186" s="195"/>
      <c r="M186" s="195"/>
      <c r="N186" s="317"/>
      <c r="O186" s="197"/>
      <c r="P186" s="106"/>
      <c r="Q186" s="149"/>
      <c r="R186" s="190"/>
      <c r="S186" s="190"/>
      <c r="T186" s="190"/>
    </row>
    <row r="187" spans="2:20" s="40" customFormat="1" ht="15.5" customHeight="1" x14ac:dyDescent="0.2">
      <c r="B187" s="851"/>
      <c r="C187" s="87"/>
      <c r="D187" s="88" t="s">
        <v>1536</v>
      </c>
      <c r="E187" s="88"/>
      <c r="F187" s="88"/>
      <c r="G187" s="304"/>
      <c r="H187" s="88"/>
      <c r="I187" s="45"/>
      <c r="J187" s="182" t="s">
        <v>160</v>
      </c>
      <c r="K187" s="129" t="s">
        <v>452</v>
      </c>
      <c r="L187" s="636"/>
      <c r="M187" s="442" t="s">
        <v>1693</v>
      </c>
      <c r="N187" s="88"/>
      <c r="O187" s="440" t="s">
        <v>190</v>
      </c>
      <c r="P187" s="841">
        <v>788891485</v>
      </c>
      <c r="Q187" s="787" t="s">
        <v>1243</v>
      </c>
      <c r="R187" s="789" t="s">
        <v>454</v>
      </c>
      <c r="S187" s="828" t="s">
        <v>611</v>
      </c>
      <c r="T187" s="868" t="s">
        <v>1732</v>
      </c>
    </row>
    <row r="188" spans="2:20" s="40" customFormat="1" ht="15.5" customHeight="1" x14ac:dyDescent="0.2">
      <c r="B188" s="851"/>
      <c r="C188" s="186" t="s">
        <v>953</v>
      </c>
      <c r="D188" s="54" t="s">
        <v>1537</v>
      </c>
      <c r="E188" s="54"/>
      <c r="F188" s="13"/>
      <c r="G188" s="91"/>
      <c r="H188" s="13"/>
      <c r="I188" s="45"/>
      <c r="J188" s="183" t="s">
        <v>160</v>
      </c>
      <c r="K188" s="5"/>
      <c r="L188" s="5"/>
      <c r="M188" s="54" t="s">
        <v>1693</v>
      </c>
      <c r="N188" s="13"/>
      <c r="O188" s="51" t="s">
        <v>1566</v>
      </c>
      <c r="P188" s="757"/>
      <c r="Q188" s="769"/>
      <c r="R188" s="790"/>
      <c r="S188" s="829"/>
      <c r="T188" s="869"/>
    </row>
    <row r="189" spans="2:20" s="40" customFormat="1" ht="15.5" customHeight="1" x14ac:dyDescent="0.2">
      <c r="B189" s="851"/>
      <c r="C189" s="90"/>
      <c r="D189" s="13" t="s">
        <v>1538</v>
      </c>
      <c r="E189" s="13"/>
      <c r="F189" s="13"/>
      <c r="G189" s="91"/>
      <c r="H189" s="13"/>
      <c r="I189" s="45"/>
      <c r="J189" s="183" t="s">
        <v>160</v>
      </c>
      <c r="K189" s="13"/>
      <c r="L189" s="13"/>
      <c r="M189" s="54" t="s">
        <v>1693</v>
      </c>
      <c r="N189" s="13"/>
      <c r="O189" s="99" t="s">
        <v>190</v>
      </c>
      <c r="P189" s="757">
        <v>788892252</v>
      </c>
      <c r="Q189" s="769"/>
      <c r="R189" s="790"/>
      <c r="S189" s="829"/>
      <c r="T189" s="869"/>
    </row>
    <row r="190" spans="2:20" s="40" customFormat="1" ht="16.25" customHeight="1" thickBot="1" x14ac:dyDescent="0.25">
      <c r="B190" s="851"/>
      <c r="C190" s="94"/>
      <c r="D190" s="96" t="s">
        <v>1539</v>
      </c>
      <c r="E190" s="96"/>
      <c r="F190" s="96"/>
      <c r="G190" s="95"/>
      <c r="H190" s="96"/>
      <c r="I190" s="45"/>
      <c r="J190" s="184" t="s">
        <v>160</v>
      </c>
      <c r="K190" s="103"/>
      <c r="L190" s="103"/>
      <c r="M190" s="96" t="s">
        <v>1693</v>
      </c>
      <c r="N190" s="96"/>
      <c r="O190" s="189" t="s">
        <v>1566</v>
      </c>
      <c r="P190" s="854"/>
      <c r="Q190" s="788"/>
      <c r="R190" s="791"/>
      <c r="S190" s="840"/>
      <c r="T190" s="870"/>
    </row>
    <row r="191" spans="2:20" s="40" customFormat="1" ht="16.25" customHeight="1" thickBot="1" x14ac:dyDescent="0.25">
      <c r="B191" s="851"/>
      <c r="C191" s="46"/>
      <c r="D191" s="13"/>
      <c r="E191" s="21"/>
      <c r="F191" s="106"/>
      <c r="G191" s="193"/>
      <c r="H191" s="109"/>
      <c r="I191" s="45"/>
      <c r="J191" s="409"/>
      <c r="K191" s="199"/>
      <c r="L191" s="199"/>
      <c r="M191" s="199"/>
      <c r="N191" s="193"/>
      <c r="O191" s="201"/>
      <c r="P191" s="106"/>
      <c r="Q191" s="106"/>
      <c r="R191" s="190"/>
      <c r="S191" s="190"/>
      <c r="T191" s="190"/>
    </row>
    <row r="192" spans="2:20" s="40" customFormat="1" ht="15.5" customHeight="1" x14ac:dyDescent="0.2">
      <c r="B192" s="851"/>
      <c r="C192" s="87"/>
      <c r="D192" s="88" t="s">
        <v>1540</v>
      </c>
      <c r="E192" s="88"/>
      <c r="F192" s="88"/>
      <c r="G192" s="304"/>
      <c r="H192" s="88"/>
      <c r="I192" s="45"/>
      <c r="J192" s="182" t="s">
        <v>160</v>
      </c>
      <c r="K192" s="204"/>
      <c r="L192" s="204"/>
      <c r="M192" s="442" t="s">
        <v>1693</v>
      </c>
      <c r="N192" s="88"/>
      <c r="O192" s="440" t="s">
        <v>190</v>
      </c>
      <c r="P192" s="841">
        <v>788891502</v>
      </c>
      <c r="Q192" s="787" t="s">
        <v>1242</v>
      </c>
      <c r="R192" s="789" t="s">
        <v>454</v>
      </c>
      <c r="S192" s="828" t="s">
        <v>611</v>
      </c>
      <c r="T192" s="868" t="s">
        <v>1733</v>
      </c>
    </row>
    <row r="193" spans="2:23" s="40" customFormat="1" ht="15.5" customHeight="1" x14ac:dyDescent="0.2">
      <c r="B193" s="851"/>
      <c r="C193" s="186"/>
      <c r="D193" s="54" t="s">
        <v>1541</v>
      </c>
      <c r="E193" s="54"/>
      <c r="F193" s="13"/>
      <c r="G193" s="91"/>
      <c r="H193" s="13"/>
      <c r="I193" s="45"/>
      <c r="J193" s="183" t="s">
        <v>160</v>
      </c>
      <c r="K193" s="5"/>
      <c r="L193" s="5"/>
      <c r="M193" s="54" t="s">
        <v>1693</v>
      </c>
      <c r="N193" s="13"/>
      <c r="O193" s="51" t="s">
        <v>1566</v>
      </c>
      <c r="P193" s="757"/>
      <c r="Q193" s="769"/>
      <c r="R193" s="790"/>
      <c r="S193" s="829"/>
      <c r="T193" s="869"/>
    </row>
    <row r="194" spans="2:23" s="40" customFormat="1" ht="15.5" customHeight="1" x14ac:dyDescent="0.2">
      <c r="B194" s="851"/>
      <c r="C194" s="90"/>
      <c r="D194" s="13" t="s">
        <v>1542</v>
      </c>
      <c r="E194" s="13"/>
      <c r="F194" s="13"/>
      <c r="G194" s="91"/>
      <c r="H194" s="13"/>
      <c r="I194" s="45"/>
      <c r="J194" s="183" t="s">
        <v>160</v>
      </c>
      <c r="K194" s="13"/>
      <c r="L194" s="13"/>
      <c r="M194" s="54" t="s">
        <v>1693</v>
      </c>
      <c r="N194" s="13"/>
      <c r="O194" s="99" t="s">
        <v>190</v>
      </c>
      <c r="P194" s="757">
        <v>788891564</v>
      </c>
      <c r="Q194" s="769"/>
      <c r="R194" s="790"/>
      <c r="S194" s="829"/>
      <c r="T194" s="869"/>
    </row>
    <row r="195" spans="2:23" s="40" customFormat="1" ht="16.25" customHeight="1" thickBot="1" x14ac:dyDescent="0.25">
      <c r="B195" s="851"/>
      <c r="C195" s="94"/>
      <c r="D195" s="96" t="s">
        <v>1681</v>
      </c>
      <c r="E195" s="96"/>
      <c r="F195" s="96"/>
      <c r="G195" s="95"/>
      <c r="H195" s="96"/>
      <c r="I195" s="45"/>
      <c r="J195" s="184" t="s">
        <v>160</v>
      </c>
      <c r="K195" s="103"/>
      <c r="L195" s="103"/>
      <c r="M195" s="96" t="s">
        <v>1717</v>
      </c>
      <c r="N195" s="96"/>
      <c r="O195" s="51" t="s">
        <v>1566</v>
      </c>
      <c r="P195" s="854"/>
      <c r="Q195" s="788"/>
      <c r="R195" s="791"/>
      <c r="S195" s="840"/>
      <c r="T195" s="870"/>
    </row>
    <row r="196" spans="2:23" s="40" customFormat="1" ht="16.25" customHeight="1" thickBot="1" x14ac:dyDescent="0.25">
      <c r="B196" s="851"/>
      <c r="C196" s="299"/>
      <c r="D196" s="202" t="s">
        <v>912</v>
      </c>
      <c r="E196" s="106"/>
      <c r="F196" s="106"/>
      <c r="G196" s="320"/>
      <c r="H196" s="202"/>
      <c r="I196" s="45"/>
      <c r="J196" s="466"/>
      <c r="K196" s="202"/>
      <c r="L196" s="202"/>
      <c r="M196" s="202"/>
      <c r="N196" s="320"/>
      <c r="O196" s="203"/>
      <c r="P196" s="106"/>
      <c r="Q196" s="106"/>
      <c r="R196" s="190"/>
      <c r="S196" s="190"/>
      <c r="T196" s="190"/>
    </row>
    <row r="197" spans="2:23" s="40" customFormat="1" ht="15.5" customHeight="1" x14ac:dyDescent="0.2">
      <c r="B197" s="851"/>
      <c r="C197" s="87"/>
      <c r="D197" s="88" t="s">
        <v>1543</v>
      </c>
      <c r="E197" s="88"/>
      <c r="F197" s="88"/>
      <c r="G197" s="304"/>
      <c r="H197" s="88"/>
      <c r="I197" s="182"/>
      <c r="J197" s="182" t="s">
        <v>160</v>
      </c>
      <c r="K197" s="204"/>
      <c r="L197" s="204"/>
      <c r="M197" s="442" t="s">
        <v>1693</v>
      </c>
      <c r="N197" s="88"/>
      <c r="O197" s="440" t="s">
        <v>190</v>
      </c>
      <c r="P197" s="841">
        <v>788891516</v>
      </c>
      <c r="Q197" s="787" t="s">
        <v>1241</v>
      </c>
      <c r="R197" s="789" t="s">
        <v>454</v>
      </c>
      <c r="S197" s="837" t="s">
        <v>611</v>
      </c>
      <c r="T197" s="868" t="s">
        <v>1734</v>
      </c>
    </row>
    <row r="198" spans="2:23" s="40" customFormat="1" ht="15.5" customHeight="1" x14ac:dyDescent="0.2">
      <c r="B198" s="851"/>
      <c r="C198" s="186"/>
      <c r="D198" s="54" t="s">
        <v>1544</v>
      </c>
      <c r="E198" s="54"/>
      <c r="F198" s="13"/>
      <c r="G198" s="91"/>
      <c r="H198" s="13"/>
      <c r="I198" s="45"/>
      <c r="J198" s="183" t="s">
        <v>160</v>
      </c>
      <c r="K198" s="5"/>
      <c r="L198" s="5"/>
      <c r="M198" s="54" t="s">
        <v>1693</v>
      </c>
      <c r="N198" s="13"/>
      <c r="O198" s="51" t="s">
        <v>1566</v>
      </c>
      <c r="P198" s="757"/>
      <c r="Q198" s="769"/>
      <c r="R198" s="790"/>
      <c r="S198" s="838"/>
      <c r="T198" s="869"/>
    </row>
    <row r="199" spans="2:23" s="40" customFormat="1" ht="15.5" customHeight="1" x14ac:dyDescent="0.2">
      <c r="B199" s="851"/>
      <c r="C199" s="90"/>
      <c r="D199" s="13" t="s">
        <v>1545</v>
      </c>
      <c r="E199" s="13"/>
      <c r="F199" s="13"/>
      <c r="G199" s="91"/>
      <c r="H199" s="13"/>
      <c r="I199" s="45"/>
      <c r="J199" s="183" t="s">
        <v>160</v>
      </c>
      <c r="K199" s="13"/>
      <c r="L199" s="13"/>
      <c r="M199" s="187" t="s">
        <v>1561</v>
      </c>
      <c r="N199" s="13"/>
      <c r="O199" s="99" t="s">
        <v>190</v>
      </c>
      <c r="P199" s="757">
        <v>788891496</v>
      </c>
      <c r="Q199" s="769"/>
      <c r="R199" s="790"/>
      <c r="S199" s="838"/>
      <c r="T199" s="869"/>
    </row>
    <row r="200" spans="2:23" s="40" customFormat="1" ht="16.25" customHeight="1" thickBot="1" x14ac:dyDescent="0.25">
      <c r="B200" s="851"/>
      <c r="C200" s="94"/>
      <c r="D200" s="96" t="s">
        <v>1546</v>
      </c>
      <c r="E200" s="96"/>
      <c r="F200" s="96"/>
      <c r="G200" s="95"/>
      <c r="H200" s="96"/>
      <c r="I200" s="209"/>
      <c r="J200" s="184" t="s">
        <v>160</v>
      </c>
      <c r="K200" s="103"/>
      <c r="L200" s="103"/>
      <c r="M200" s="96" t="s">
        <v>1694</v>
      </c>
      <c r="N200" s="96"/>
      <c r="O200" s="189" t="s">
        <v>1566</v>
      </c>
      <c r="P200" s="854"/>
      <c r="Q200" s="788"/>
      <c r="R200" s="791"/>
      <c r="S200" s="839"/>
      <c r="T200" s="870"/>
    </row>
    <row r="201" spans="2:23" s="44" customFormat="1" ht="22" thickBot="1" x14ac:dyDescent="0.25">
      <c r="C201" s="437"/>
      <c r="D201" s="437"/>
      <c r="E201" s="437"/>
      <c r="F201" s="437"/>
      <c r="G201" s="437"/>
      <c r="H201" s="21"/>
      <c r="I201" s="437"/>
      <c r="J201" s="437"/>
      <c r="K201" s="136"/>
      <c r="L201" s="136"/>
      <c r="M201" s="21"/>
      <c r="N201" s="21"/>
      <c r="O201" s="178"/>
      <c r="P201" s="124"/>
      <c r="Q201" s="20"/>
      <c r="R201" s="20"/>
      <c r="S201" s="21"/>
      <c r="T201" s="21"/>
      <c r="U201" s="40"/>
      <c r="V201" s="40"/>
      <c r="W201" s="40"/>
    </row>
    <row r="202" spans="2:23" s="44" customFormat="1" ht="15.5" customHeight="1" thickBot="1" x14ac:dyDescent="0.25">
      <c r="B202" s="850">
        <v>45615</v>
      </c>
      <c r="C202" s="87"/>
      <c r="D202" s="88" t="s">
        <v>1742</v>
      </c>
      <c r="E202" s="88"/>
      <c r="F202" s="88"/>
      <c r="G202" s="304"/>
      <c r="H202" s="88"/>
      <c r="I202" s="182"/>
      <c r="J202" s="182" t="s">
        <v>160</v>
      </c>
      <c r="K202" s="101" t="s">
        <v>452</v>
      </c>
      <c r="L202" s="101"/>
      <c r="M202" s="442" t="s">
        <v>1746</v>
      </c>
      <c r="N202" s="88"/>
      <c r="O202" s="440" t="s">
        <v>1748</v>
      </c>
      <c r="P202" s="834">
        <v>542082675</v>
      </c>
      <c r="Q202" s="787" t="s">
        <v>1735</v>
      </c>
      <c r="R202" s="789" t="s">
        <v>1547</v>
      </c>
      <c r="S202" s="837" t="s">
        <v>610</v>
      </c>
      <c r="T202" s="868"/>
      <c r="U202" s="40"/>
      <c r="V202" s="40"/>
      <c r="W202" s="40"/>
    </row>
    <row r="203" spans="2:23" s="44" customFormat="1" x14ac:dyDescent="0.2">
      <c r="B203" s="845"/>
      <c r="C203" s="186" t="s">
        <v>1815</v>
      </c>
      <c r="D203" s="54" t="s">
        <v>1743</v>
      </c>
      <c r="E203" s="54"/>
      <c r="F203" s="13"/>
      <c r="G203" s="91"/>
      <c r="H203" s="13"/>
      <c r="I203" s="45"/>
      <c r="J203" s="183" t="s">
        <v>160</v>
      </c>
      <c r="K203" s="101" t="s">
        <v>452</v>
      </c>
      <c r="L203" s="636"/>
      <c r="M203" s="54" t="s">
        <v>1745</v>
      </c>
      <c r="N203" s="13"/>
      <c r="O203" s="51" t="s">
        <v>190</v>
      </c>
      <c r="P203" s="737"/>
      <c r="Q203" s="769"/>
      <c r="R203" s="790"/>
      <c r="S203" s="838"/>
      <c r="T203" s="869"/>
      <c r="U203" s="40"/>
      <c r="V203" s="40"/>
      <c r="W203" s="40"/>
    </row>
    <row r="204" spans="2:23" s="44" customFormat="1" x14ac:dyDescent="0.2">
      <c r="B204" s="845"/>
      <c r="C204" s="90"/>
      <c r="D204" s="13" t="s">
        <v>1744</v>
      </c>
      <c r="E204" s="13"/>
      <c r="F204" s="13"/>
      <c r="G204" s="91"/>
      <c r="H204" s="13" t="s">
        <v>1801</v>
      </c>
      <c r="I204" s="46" t="s">
        <v>1805</v>
      </c>
      <c r="J204" s="183" t="s">
        <v>160</v>
      </c>
      <c r="K204" s="13" t="s">
        <v>1551</v>
      </c>
      <c r="L204" s="13"/>
      <c r="M204" s="187" t="s">
        <v>1747</v>
      </c>
      <c r="N204" s="13"/>
      <c r="O204" s="99" t="s">
        <v>223</v>
      </c>
      <c r="P204" s="737"/>
      <c r="Q204" s="769"/>
      <c r="R204" s="790"/>
      <c r="S204" s="838"/>
      <c r="T204" s="869"/>
      <c r="U204" s="40"/>
      <c r="V204" s="40"/>
      <c r="W204" s="40"/>
    </row>
    <row r="205" spans="2:23" s="44" customFormat="1" ht="15.5" customHeight="1" thickBot="1" x14ac:dyDescent="0.25">
      <c r="B205" s="845"/>
      <c r="C205" s="94"/>
      <c r="D205" s="96"/>
      <c r="E205" s="96"/>
      <c r="F205" s="96"/>
      <c r="G205" s="95"/>
      <c r="H205" s="96"/>
      <c r="I205" s="209"/>
      <c r="J205" s="184"/>
      <c r="K205" s="103"/>
      <c r="L205" s="103"/>
      <c r="M205" s="96"/>
      <c r="N205" s="96"/>
      <c r="O205" s="189"/>
      <c r="P205" s="835"/>
      <c r="Q205" s="788"/>
      <c r="R205" s="791"/>
      <c r="S205" s="839"/>
      <c r="T205" s="870"/>
      <c r="U205" s="40"/>
      <c r="V205" s="40"/>
      <c r="W205" s="40"/>
    </row>
    <row r="206" spans="2:23" s="44" customFormat="1" ht="17" thickBot="1" x14ac:dyDescent="0.25">
      <c r="B206" s="845"/>
      <c r="C206" s="40"/>
      <c r="D206" s="21"/>
      <c r="E206" s="21"/>
      <c r="F206" s="21"/>
      <c r="G206" s="21"/>
      <c r="H206" s="21"/>
      <c r="I206" s="21"/>
      <c r="J206" s="136"/>
      <c r="K206" s="136"/>
      <c r="L206" s="136"/>
      <c r="M206" s="21"/>
      <c r="N206" s="21"/>
      <c r="O206" s="178"/>
      <c r="P206" s="124"/>
      <c r="Q206" s="20"/>
      <c r="R206" s="20"/>
      <c r="S206" s="21"/>
      <c r="T206" s="21"/>
      <c r="U206" s="40"/>
      <c r="V206" s="40"/>
      <c r="W206" s="40"/>
    </row>
    <row r="207" spans="2:23" s="44" customFormat="1" ht="15.5" customHeight="1" x14ac:dyDescent="0.2">
      <c r="B207" s="845"/>
      <c r="C207" s="87"/>
      <c r="D207" s="88" t="s">
        <v>1737</v>
      </c>
      <c r="E207" s="88"/>
      <c r="F207" s="88"/>
      <c r="G207" s="304"/>
      <c r="H207" s="88"/>
      <c r="I207" s="182" t="s">
        <v>1803</v>
      </c>
      <c r="J207" s="182" t="s">
        <v>160</v>
      </c>
      <c r="K207" s="204"/>
      <c r="L207" s="204"/>
      <c r="M207" s="442" t="s">
        <v>1739</v>
      </c>
      <c r="N207" s="88"/>
      <c r="O207" s="110" t="s">
        <v>190</v>
      </c>
      <c r="P207" s="841">
        <v>5464</v>
      </c>
      <c r="Q207" s="860" t="s">
        <v>1736</v>
      </c>
      <c r="R207" s="826" t="s">
        <v>459</v>
      </c>
      <c r="S207" s="828" t="s">
        <v>611</v>
      </c>
      <c r="T207" s="868" t="s">
        <v>1775</v>
      </c>
      <c r="U207" s="40"/>
      <c r="V207" s="40"/>
      <c r="W207" s="40"/>
    </row>
    <row r="208" spans="2:23" s="44" customFormat="1" x14ac:dyDescent="0.2">
      <c r="B208" s="845"/>
      <c r="C208" s="186"/>
      <c r="D208" s="54" t="s">
        <v>1738</v>
      </c>
      <c r="E208" s="54"/>
      <c r="F208" s="13"/>
      <c r="G208" s="91"/>
      <c r="H208" s="13"/>
      <c r="I208" s="46" t="s">
        <v>1804</v>
      </c>
      <c r="J208" s="183" t="s">
        <v>160</v>
      </c>
      <c r="K208" s="5"/>
      <c r="L208" s="5"/>
      <c r="M208" s="54" t="s">
        <v>1740</v>
      </c>
      <c r="N208" s="13"/>
      <c r="O208" s="226" t="s">
        <v>1780</v>
      </c>
      <c r="P208" s="757"/>
      <c r="Q208" s="861"/>
      <c r="R208" s="753"/>
      <c r="S208" s="829"/>
      <c r="T208" s="869"/>
      <c r="U208" s="40"/>
      <c r="V208" s="40"/>
      <c r="W208" s="40"/>
    </row>
    <row r="209" spans="2:23" s="44" customFormat="1" x14ac:dyDescent="0.2">
      <c r="B209" s="845"/>
      <c r="C209" s="90"/>
      <c r="D209" s="13" t="s">
        <v>1806</v>
      </c>
      <c r="E209" s="13"/>
      <c r="F209" s="13"/>
      <c r="G209" s="91"/>
      <c r="H209" s="13" t="s">
        <v>1778</v>
      </c>
      <c r="I209" s="46" t="s">
        <v>1808</v>
      </c>
      <c r="J209" s="183"/>
      <c r="K209" s="13"/>
      <c r="L209" s="196"/>
      <c r="M209" s="848" t="s">
        <v>1776</v>
      </c>
      <c r="N209" s="13"/>
      <c r="O209" s="102" t="s">
        <v>1749</v>
      </c>
      <c r="P209" s="757">
        <v>5234</v>
      </c>
      <c r="Q209" s="861"/>
      <c r="R209" s="753"/>
      <c r="S209" s="829"/>
      <c r="T209" s="869"/>
      <c r="U209" s="40"/>
      <c r="V209" s="40"/>
      <c r="W209" s="40"/>
    </row>
    <row r="210" spans="2:23" s="44" customFormat="1" ht="15.5" customHeight="1" x14ac:dyDescent="0.2">
      <c r="B210" s="845"/>
      <c r="C210" s="478"/>
      <c r="D210" s="196" t="s">
        <v>1807</v>
      </c>
      <c r="E210" s="196"/>
      <c r="F210" s="196"/>
      <c r="G210" s="317"/>
      <c r="H210" s="196" t="s">
        <v>1779</v>
      </c>
      <c r="I210" s="299" t="s">
        <v>1809</v>
      </c>
      <c r="J210" s="479"/>
      <c r="K210" s="480"/>
      <c r="L210" s="637"/>
      <c r="M210" s="849"/>
      <c r="N210" s="196"/>
      <c r="O210" s="197" t="s">
        <v>1750</v>
      </c>
      <c r="P210" s="757"/>
      <c r="Q210" s="861"/>
      <c r="R210" s="753"/>
      <c r="S210" s="829"/>
      <c r="T210" s="869"/>
      <c r="U210" s="40"/>
      <c r="V210" s="40"/>
      <c r="W210" s="40"/>
    </row>
    <row r="211" spans="2:23" s="44" customFormat="1" x14ac:dyDescent="0.2">
      <c r="B211" s="845"/>
      <c r="C211" s="481"/>
      <c r="D211" s="13" t="s">
        <v>1806</v>
      </c>
      <c r="E211" s="13"/>
      <c r="F211" s="13"/>
      <c r="G211" s="13"/>
      <c r="H211" s="13" t="s">
        <v>1778</v>
      </c>
      <c r="I211" s="13" t="s">
        <v>1810</v>
      </c>
      <c r="J211" s="26"/>
      <c r="K211" s="26"/>
      <c r="L211" s="638"/>
      <c r="M211" s="848" t="s">
        <v>1777</v>
      </c>
      <c r="N211" s="13"/>
      <c r="O211" s="102" t="s">
        <v>1749</v>
      </c>
      <c r="P211" s="757" t="s">
        <v>1741</v>
      </c>
      <c r="Q211" s="861"/>
      <c r="R211" s="753"/>
      <c r="S211" s="829"/>
      <c r="T211" s="869"/>
      <c r="U211" s="40"/>
      <c r="V211" s="40"/>
      <c r="W211" s="40"/>
    </row>
    <row r="212" spans="2:23" s="44" customFormat="1" ht="15.75" customHeight="1" thickBot="1" x14ac:dyDescent="0.25">
      <c r="B212" s="845"/>
      <c r="C212" s="482"/>
      <c r="D212" s="196" t="s">
        <v>1807</v>
      </c>
      <c r="E212" s="196"/>
      <c r="F212" s="96"/>
      <c r="G212" s="96"/>
      <c r="H212" s="96" t="s">
        <v>1779</v>
      </c>
      <c r="I212" s="96" t="s">
        <v>1811</v>
      </c>
      <c r="J212" s="107"/>
      <c r="K212" s="107"/>
      <c r="L212" s="530"/>
      <c r="M212" s="849"/>
      <c r="N212" s="96"/>
      <c r="O212" s="104" t="s">
        <v>1750</v>
      </c>
      <c r="P212" s="854"/>
      <c r="Q212" s="862"/>
      <c r="R212" s="827"/>
      <c r="S212" s="830"/>
      <c r="T212" s="871"/>
      <c r="U212" s="40"/>
      <c r="V212" s="40"/>
      <c r="W212" s="40"/>
    </row>
    <row r="213" spans="2:23" s="44" customFormat="1" ht="17" thickBot="1" x14ac:dyDescent="0.25">
      <c r="C213" s="40"/>
      <c r="D213" s="21"/>
      <c r="E213" s="21"/>
      <c r="F213" s="21"/>
      <c r="G213" s="21"/>
      <c r="H213" s="21"/>
      <c r="I213" s="21"/>
      <c r="J213" s="136"/>
      <c r="K213" s="136"/>
      <c r="L213" s="136"/>
      <c r="M213" s="21"/>
      <c r="N213" s="21"/>
      <c r="O213" s="178"/>
      <c r="P213" s="124"/>
      <c r="Q213" s="20"/>
      <c r="R213" s="20"/>
      <c r="S213" s="21"/>
      <c r="T213" s="21"/>
      <c r="U213" s="40"/>
      <c r="V213" s="40"/>
      <c r="W213" s="40"/>
    </row>
    <row r="214" spans="2:23" s="40" customFormat="1" ht="15.5" customHeight="1" thickBot="1" x14ac:dyDescent="0.25">
      <c r="B214" s="852">
        <v>45462</v>
      </c>
      <c r="C214" s="303" t="s">
        <v>954</v>
      </c>
      <c r="D214" s="182" t="s">
        <v>639</v>
      </c>
      <c r="E214" s="182"/>
      <c r="F214" s="182"/>
      <c r="G214" s="304"/>
      <c r="H214" s="13"/>
      <c r="I214" s="431"/>
      <c r="J214" s="307" t="s">
        <v>452</v>
      </c>
      <c r="K214" s="305" t="s">
        <v>160</v>
      </c>
      <c r="L214" s="305"/>
      <c r="M214" s="88"/>
      <c r="N214" s="45"/>
      <c r="O214" s="110" t="s">
        <v>190</v>
      </c>
      <c r="P214" s="834">
        <v>542082535</v>
      </c>
      <c r="Q214" s="831" t="s">
        <v>969</v>
      </c>
      <c r="R214" s="789" t="s">
        <v>114</v>
      </c>
      <c r="S214" s="828" t="s">
        <v>610</v>
      </c>
      <c r="T214" s="810"/>
    </row>
    <row r="215" spans="2:23" s="40" customFormat="1" ht="15.5" customHeight="1" x14ac:dyDescent="0.2">
      <c r="B215" s="853"/>
      <c r="C215" s="186" t="s">
        <v>1159</v>
      </c>
      <c r="D215" s="13" t="s">
        <v>641</v>
      </c>
      <c r="E215" s="183"/>
      <c r="F215" s="183"/>
      <c r="G215" s="91"/>
      <c r="H215" s="99"/>
      <c r="I215" s="91"/>
      <c r="J215" s="129" t="s">
        <v>452</v>
      </c>
      <c r="K215" s="183" t="s">
        <v>160</v>
      </c>
      <c r="L215" s="183"/>
      <c r="M215" s="13"/>
      <c r="N215" s="45"/>
      <c r="O215" s="91" t="s">
        <v>221</v>
      </c>
      <c r="P215" s="737"/>
      <c r="Q215" s="832"/>
      <c r="R215" s="790"/>
      <c r="S215" s="829"/>
      <c r="T215" s="811"/>
    </row>
    <row r="216" spans="2:23" s="40" customFormat="1" ht="15.5" customHeight="1" x14ac:dyDescent="0.2">
      <c r="B216" s="853"/>
      <c r="C216" s="186" t="s">
        <v>1159</v>
      </c>
      <c r="D216" s="210" t="s">
        <v>640</v>
      </c>
      <c r="E216" s="210"/>
      <c r="F216" s="183"/>
      <c r="G216" s="91"/>
      <c r="H216" s="13" t="s">
        <v>964</v>
      </c>
      <c r="I216" s="91"/>
      <c r="J216" s="129" t="s">
        <v>452</v>
      </c>
      <c r="K216" s="64" t="s">
        <v>49</v>
      </c>
      <c r="L216" s="64"/>
      <c r="M216" s="13"/>
      <c r="N216" s="91"/>
      <c r="O216" s="91" t="s">
        <v>951</v>
      </c>
      <c r="P216" s="737"/>
      <c r="Q216" s="832"/>
      <c r="R216" s="790"/>
      <c r="S216" s="829"/>
      <c r="T216" s="811"/>
    </row>
    <row r="217" spans="2:23" s="40" customFormat="1" ht="16.25" customHeight="1" thickBot="1" x14ac:dyDescent="0.25">
      <c r="B217" s="853"/>
      <c r="C217" s="94"/>
      <c r="D217" s="184"/>
      <c r="E217" s="184"/>
      <c r="F217" s="184"/>
      <c r="G217" s="96"/>
      <c r="H217" s="96"/>
      <c r="I217" s="318"/>
      <c r="J217" s="306"/>
      <c r="K217" s="96"/>
      <c r="L217" s="96"/>
      <c r="M217" s="96"/>
      <c r="N217" s="96"/>
      <c r="O217" s="189"/>
      <c r="P217" s="835"/>
      <c r="Q217" s="833"/>
      <c r="R217" s="791"/>
      <c r="S217" s="830"/>
      <c r="T217" s="812"/>
    </row>
    <row r="218" spans="2:23" s="40" customFormat="1" ht="16.25" customHeight="1" thickBot="1" x14ac:dyDescent="0.25">
      <c r="B218" s="853"/>
      <c r="C218" s="213"/>
      <c r="D218" s="109"/>
      <c r="E218" s="21"/>
      <c r="F218" s="106"/>
      <c r="G218" s="190"/>
      <c r="H218" s="190"/>
      <c r="I218" s="190"/>
      <c r="J218" s="190"/>
      <c r="K218" s="190"/>
      <c r="L218" s="190"/>
      <c r="M218" s="190"/>
      <c r="N218" s="316"/>
      <c r="O218" s="191"/>
      <c r="P218" s="106"/>
      <c r="Q218" s="106"/>
      <c r="R218" s="190"/>
      <c r="S218" s="190"/>
      <c r="T218" s="190"/>
    </row>
    <row r="219" spans="2:23" s="40" customFormat="1" ht="15.5" customHeight="1" x14ac:dyDescent="0.2">
      <c r="B219" s="853"/>
      <c r="C219" s="87" t="s">
        <v>1160</v>
      </c>
      <c r="D219" s="182" t="s">
        <v>642</v>
      </c>
      <c r="E219" s="182"/>
      <c r="F219" s="182"/>
      <c r="G219" s="304"/>
      <c r="H219" s="88"/>
      <c r="I219" s="88"/>
      <c r="J219" s="308" t="s">
        <v>452</v>
      </c>
      <c r="K219" s="194" t="s">
        <v>160</v>
      </c>
      <c r="L219" s="194"/>
      <c r="M219" s="88"/>
      <c r="N219" s="304"/>
      <c r="O219" s="110" t="s">
        <v>190</v>
      </c>
      <c r="P219" s="233">
        <v>78891553</v>
      </c>
      <c r="Q219" s="831" t="s">
        <v>643</v>
      </c>
      <c r="R219" s="789" t="s">
        <v>454</v>
      </c>
      <c r="S219" s="828" t="s">
        <v>611</v>
      </c>
      <c r="T219" s="868" t="s">
        <v>1394</v>
      </c>
    </row>
    <row r="220" spans="2:23" s="40" customFormat="1" ht="15.5" customHeight="1" x14ac:dyDescent="0.2">
      <c r="B220" s="853"/>
      <c r="C220" s="186" t="s">
        <v>1160</v>
      </c>
      <c r="D220" s="183" t="s">
        <v>644</v>
      </c>
      <c r="E220" s="183"/>
      <c r="F220" s="183"/>
      <c r="G220" s="91"/>
      <c r="I220" s="13"/>
      <c r="J220" s="13" t="s">
        <v>160</v>
      </c>
      <c r="K220" s="13" t="s">
        <v>160</v>
      </c>
      <c r="L220" s="13"/>
      <c r="M220" s="13"/>
      <c r="N220" s="91"/>
      <c r="O220" s="91" t="s">
        <v>1157</v>
      </c>
      <c r="P220" s="50">
        <v>78891556</v>
      </c>
      <c r="Q220" s="832"/>
      <c r="R220" s="790"/>
      <c r="S220" s="829"/>
      <c r="T220" s="869"/>
    </row>
    <row r="221" spans="2:23" s="40" customFormat="1" ht="15.5" customHeight="1" x14ac:dyDescent="0.2">
      <c r="B221" s="853"/>
      <c r="C221" s="90"/>
      <c r="D221" s="210"/>
      <c r="E221" s="210"/>
      <c r="F221" s="183"/>
      <c r="G221" s="91"/>
      <c r="H221" s="355" t="s">
        <v>1158</v>
      </c>
      <c r="I221" s="13"/>
      <c r="J221" s="54"/>
      <c r="K221" s="54"/>
      <c r="L221" s="54"/>
      <c r="M221" s="13"/>
      <c r="N221" s="91"/>
      <c r="O221" s="356" t="s">
        <v>1156</v>
      </c>
      <c r="P221" s="54"/>
      <c r="Q221" s="832"/>
      <c r="R221" s="790"/>
      <c r="S221" s="829"/>
      <c r="T221" s="869"/>
    </row>
    <row r="222" spans="2:23" s="40" customFormat="1" ht="16.25" customHeight="1" thickBot="1" x14ac:dyDescent="0.25">
      <c r="B222" s="853"/>
      <c r="C222" s="94"/>
      <c r="D222" s="184"/>
      <c r="E222" s="184"/>
      <c r="F222" s="184"/>
      <c r="G222" s="96"/>
      <c r="H222" s="96"/>
      <c r="I222" s="96"/>
      <c r="J222" s="103"/>
      <c r="K222" s="96"/>
      <c r="L222" s="96"/>
      <c r="M222" s="96"/>
      <c r="N222" s="96"/>
      <c r="O222" s="189"/>
      <c r="P222" s="263"/>
      <c r="Q222" s="833"/>
      <c r="R222" s="791"/>
      <c r="S222" s="830"/>
      <c r="T222" s="871"/>
    </row>
    <row r="223" spans="2:23" s="40" customFormat="1" ht="16.25" customHeight="1" thickBot="1" x14ac:dyDescent="0.25">
      <c r="B223" s="853"/>
      <c r="C223" s="46"/>
      <c r="D223" s="13"/>
      <c r="E223" s="21"/>
      <c r="F223" s="106"/>
      <c r="G223" s="190"/>
      <c r="H223" s="190"/>
      <c r="I223" s="190"/>
      <c r="J223" s="190"/>
      <c r="K223" s="190"/>
      <c r="L223" s="190"/>
      <c r="M223" s="190"/>
      <c r="N223" s="316"/>
      <c r="O223" s="192"/>
      <c r="P223" s="106"/>
      <c r="Q223" s="106"/>
      <c r="R223" s="190"/>
      <c r="S223" s="190"/>
      <c r="T223" s="190"/>
    </row>
    <row r="224" spans="2:23" s="40" customFormat="1" ht="15.5" customHeight="1" x14ac:dyDescent="0.2">
      <c r="B224" s="853"/>
      <c r="C224" s="87" t="s">
        <v>1161</v>
      </c>
      <c r="D224" s="182" t="s">
        <v>645</v>
      </c>
      <c r="E224" s="182"/>
      <c r="F224" s="182"/>
      <c r="G224" s="88"/>
      <c r="H224" s="88"/>
      <c r="I224" s="88"/>
      <c r="J224" s="308" t="s">
        <v>452</v>
      </c>
      <c r="K224" s="194" t="s">
        <v>160</v>
      </c>
      <c r="L224" s="194"/>
      <c r="M224" s="88"/>
      <c r="N224" s="304"/>
      <c r="O224" s="110" t="s">
        <v>190</v>
      </c>
      <c r="P224" s="834">
        <v>78891501</v>
      </c>
      <c r="Q224" s="831" t="s">
        <v>646</v>
      </c>
      <c r="R224" s="789" t="s">
        <v>454</v>
      </c>
      <c r="S224" s="828" t="s">
        <v>611</v>
      </c>
      <c r="T224" s="868" t="s">
        <v>1395</v>
      </c>
    </row>
    <row r="225" spans="2:22" s="40" customFormat="1" ht="15.5" customHeight="1" x14ac:dyDescent="0.2">
      <c r="B225" s="853"/>
      <c r="C225" s="186" t="s">
        <v>1162</v>
      </c>
      <c r="D225" s="183" t="s">
        <v>647</v>
      </c>
      <c r="E225" s="183"/>
      <c r="F225" s="183"/>
      <c r="G225" s="13"/>
      <c r="H225" s="13"/>
      <c r="I225" s="196"/>
      <c r="J225" s="309" t="s">
        <v>452</v>
      </c>
      <c r="K225" s="13" t="s">
        <v>160</v>
      </c>
      <c r="L225" s="13"/>
      <c r="M225" s="13"/>
      <c r="N225" s="91"/>
      <c r="O225" s="91" t="s">
        <v>1163</v>
      </c>
      <c r="P225" s="738"/>
      <c r="Q225" s="832"/>
      <c r="R225" s="790"/>
      <c r="S225" s="829"/>
      <c r="T225" s="869"/>
    </row>
    <row r="226" spans="2:22" s="40" customFormat="1" ht="15.5" customHeight="1" x14ac:dyDescent="0.2">
      <c r="B226" s="853"/>
      <c r="C226" s="90"/>
      <c r="D226" s="210" t="s">
        <v>648</v>
      </c>
      <c r="E226" s="210"/>
      <c r="F226" s="183"/>
      <c r="G226" s="91"/>
      <c r="H226" s="13" t="s">
        <v>1154</v>
      </c>
      <c r="I226" s="432"/>
      <c r="J226" s="183" t="s">
        <v>160</v>
      </c>
      <c r="K226" s="210" t="s">
        <v>160</v>
      </c>
      <c r="L226" s="210"/>
      <c r="M226" s="13"/>
      <c r="N226" s="91"/>
      <c r="O226" s="91" t="s">
        <v>304</v>
      </c>
      <c r="P226" s="54">
        <v>78892009</v>
      </c>
      <c r="Q226" s="832"/>
      <c r="R226" s="790"/>
      <c r="S226" s="829"/>
      <c r="T226" s="869"/>
      <c r="V226" s="102"/>
    </row>
    <row r="227" spans="2:22" s="40" customFormat="1" ht="16.25" customHeight="1" thickBot="1" x14ac:dyDescent="0.25">
      <c r="B227" s="853"/>
      <c r="C227" s="94"/>
      <c r="D227" s="184"/>
      <c r="E227" s="184"/>
      <c r="F227" s="184"/>
      <c r="G227" s="96"/>
      <c r="H227" s="96"/>
      <c r="I227" s="318"/>
      <c r="J227" s="306"/>
      <c r="K227" s="96"/>
      <c r="L227" s="96"/>
      <c r="M227" s="96"/>
      <c r="N227" s="96"/>
      <c r="O227" s="189"/>
      <c r="P227" s="263"/>
      <c r="Q227" s="833"/>
      <c r="R227" s="791"/>
      <c r="S227" s="830"/>
      <c r="T227" s="871"/>
    </row>
    <row r="228" spans="2:22" s="40" customFormat="1" ht="16.25" customHeight="1" thickBot="1" x14ac:dyDescent="0.25">
      <c r="B228" s="853"/>
      <c r="C228" s="46"/>
      <c r="D228" s="13"/>
      <c r="E228" s="21"/>
      <c r="F228" s="106"/>
      <c r="G228" s="109"/>
      <c r="H228" s="109"/>
      <c r="I228" s="109"/>
      <c r="J228" s="109"/>
      <c r="K228" s="109"/>
      <c r="L228" s="109"/>
      <c r="M228" s="109"/>
      <c r="N228" s="193"/>
      <c r="O228" s="193"/>
      <c r="P228" s="233"/>
      <c r="Q228" s="106"/>
      <c r="R228" s="190"/>
      <c r="S228" s="190"/>
      <c r="T228" s="190"/>
    </row>
    <row r="229" spans="2:22" s="40" customFormat="1" ht="15.5" customHeight="1" thickBot="1" x14ac:dyDescent="0.25">
      <c r="B229" s="853"/>
      <c r="C229" s="87" t="s">
        <v>1166</v>
      </c>
      <c r="D229" s="182" t="s">
        <v>649</v>
      </c>
      <c r="E229" s="182"/>
      <c r="F229" s="182"/>
      <c r="G229" s="88"/>
      <c r="H229" s="88" t="s">
        <v>1154</v>
      </c>
      <c r="I229" s="88"/>
      <c r="J229" s="204" t="s">
        <v>160</v>
      </c>
      <c r="K229" s="194" t="s">
        <v>160</v>
      </c>
      <c r="L229" s="194"/>
      <c r="M229" s="88"/>
      <c r="N229" s="304"/>
      <c r="O229" s="110" t="s">
        <v>304</v>
      </c>
      <c r="P229" s="233">
        <v>1579</v>
      </c>
      <c r="Q229" s="831" t="s">
        <v>650</v>
      </c>
      <c r="R229" s="789" t="s">
        <v>459</v>
      </c>
      <c r="S229" s="828" t="s">
        <v>611</v>
      </c>
      <c r="T229" s="868" t="s">
        <v>1396</v>
      </c>
    </row>
    <row r="230" spans="2:22" s="40" customFormat="1" ht="15.5" customHeight="1" thickBot="1" x14ac:dyDescent="0.25">
      <c r="B230" s="853"/>
      <c r="C230" s="357" t="s">
        <v>1165</v>
      </c>
      <c r="D230" s="210" t="s">
        <v>651</v>
      </c>
      <c r="E230" s="210"/>
      <c r="F230" s="183"/>
      <c r="G230" s="13"/>
      <c r="H230" s="13" t="s">
        <v>1154</v>
      </c>
      <c r="I230" s="13"/>
      <c r="J230" s="13" t="s">
        <v>160</v>
      </c>
      <c r="K230" s="187" t="s">
        <v>160</v>
      </c>
      <c r="L230" s="187"/>
      <c r="M230" s="13"/>
      <c r="N230" s="317"/>
      <c r="O230" s="312" t="s">
        <v>304</v>
      </c>
      <c r="P230" s="13">
        <v>1584</v>
      </c>
      <c r="Q230" s="832"/>
      <c r="R230" s="790"/>
      <c r="S230" s="829"/>
      <c r="T230" s="869"/>
    </row>
    <row r="231" spans="2:22" s="40" customFormat="1" ht="15.5" customHeight="1" x14ac:dyDescent="0.2">
      <c r="B231" s="853"/>
      <c r="C231" s="87" t="s">
        <v>1164</v>
      </c>
      <c r="D231" s="183" t="s">
        <v>652</v>
      </c>
      <c r="E231" s="183"/>
      <c r="F231" s="183"/>
      <c r="G231" s="13"/>
      <c r="H231" s="91"/>
      <c r="I231" s="13"/>
      <c r="J231" s="129" t="s">
        <v>452</v>
      </c>
      <c r="K231" s="187" t="s">
        <v>160</v>
      </c>
      <c r="L231" s="187"/>
      <c r="M231" s="13"/>
      <c r="N231" s="91"/>
      <c r="O231" s="99" t="s">
        <v>190</v>
      </c>
      <c r="P231" s="183">
        <v>788891583</v>
      </c>
      <c r="Q231" s="832"/>
      <c r="R231" s="790"/>
      <c r="S231" s="829"/>
      <c r="T231" s="869"/>
    </row>
    <row r="232" spans="2:22" s="40" customFormat="1" ht="16.25" customHeight="1" thickBot="1" x14ac:dyDescent="0.25">
      <c r="B232" s="853"/>
      <c r="C232" s="94"/>
      <c r="D232" s="184"/>
      <c r="E232" s="184"/>
      <c r="F232" s="184"/>
      <c r="G232" s="96"/>
      <c r="H232" s="96"/>
      <c r="I232" s="96"/>
      <c r="J232" s="103"/>
      <c r="K232" s="96"/>
      <c r="L232" s="96"/>
      <c r="M232" s="96"/>
      <c r="N232" s="318"/>
      <c r="O232" s="313"/>
      <c r="P232" s="263"/>
      <c r="Q232" s="833"/>
      <c r="R232" s="791"/>
      <c r="S232" s="830"/>
      <c r="T232" s="871"/>
    </row>
    <row r="233" spans="2:22" s="40" customFormat="1" ht="16.25" customHeight="1" thickBot="1" x14ac:dyDescent="0.25">
      <c r="B233" s="853"/>
      <c r="C233" s="46"/>
      <c r="D233" s="84"/>
      <c r="E233" s="211"/>
      <c r="F233" s="211"/>
      <c r="G233" s="195"/>
      <c r="H233" s="196"/>
      <c r="I233" s="195"/>
      <c r="J233" s="195"/>
      <c r="K233" s="195"/>
      <c r="L233" s="195"/>
      <c r="M233" s="196"/>
      <c r="N233" s="317"/>
      <c r="O233" s="197"/>
      <c r="P233" s="106"/>
      <c r="Q233" s="149"/>
      <c r="R233" s="190"/>
      <c r="S233" s="190"/>
      <c r="T233" s="190"/>
    </row>
    <row r="234" spans="2:22" s="40" customFormat="1" ht="15.5" customHeight="1" thickBot="1" x14ac:dyDescent="0.25">
      <c r="B234" s="853"/>
      <c r="C234" s="87" t="s">
        <v>1164</v>
      </c>
      <c r="D234" s="182" t="s">
        <v>653</v>
      </c>
      <c r="E234" s="182"/>
      <c r="F234" s="182"/>
      <c r="G234" s="88"/>
      <c r="H234" s="88"/>
      <c r="I234" s="182"/>
      <c r="J234" s="307" t="s">
        <v>452</v>
      </c>
      <c r="K234" s="185" t="s">
        <v>160</v>
      </c>
      <c r="L234" s="185"/>
      <c r="M234" s="88"/>
      <c r="N234" s="304"/>
      <c r="O234" s="110" t="s">
        <v>259</v>
      </c>
      <c r="P234" s="834">
        <v>78891510</v>
      </c>
      <c r="Q234" s="831" t="s">
        <v>654</v>
      </c>
      <c r="R234" s="789" t="s">
        <v>454</v>
      </c>
      <c r="S234" s="828" t="s">
        <v>611</v>
      </c>
      <c r="T234" s="868" t="s">
        <v>1398</v>
      </c>
    </row>
    <row r="235" spans="2:22" s="40" customFormat="1" ht="15.5" customHeight="1" thickBot="1" x14ac:dyDescent="0.25">
      <c r="B235" s="853"/>
      <c r="C235" s="87" t="s">
        <v>1164</v>
      </c>
      <c r="D235" s="210" t="s">
        <v>668</v>
      </c>
      <c r="E235" s="210"/>
      <c r="F235" s="183"/>
      <c r="G235" s="13"/>
      <c r="H235" s="13"/>
      <c r="I235" s="13"/>
      <c r="J235" s="129" t="s">
        <v>452</v>
      </c>
      <c r="K235" s="54" t="s">
        <v>160</v>
      </c>
      <c r="L235" s="54"/>
      <c r="M235" s="13"/>
      <c r="N235" s="91"/>
      <c r="O235" s="44" t="s">
        <v>190</v>
      </c>
      <c r="P235" s="738"/>
      <c r="Q235" s="832"/>
      <c r="R235" s="790"/>
      <c r="S235" s="829"/>
      <c r="T235" s="869"/>
    </row>
    <row r="236" spans="2:22" s="40" customFormat="1" ht="15.5" customHeight="1" x14ac:dyDescent="0.2">
      <c r="B236" s="853"/>
      <c r="C236" s="87" t="s">
        <v>1435</v>
      </c>
      <c r="D236" s="183" t="s">
        <v>655</v>
      </c>
      <c r="E236" s="183"/>
      <c r="F236" s="183"/>
      <c r="G236" s="13"/>
      <c r="H236" s="13" t="s">
        <v>1154</v>
      </c>
      <c r="I236" s="13"/>
      <c r="J236" s="13" t="s">
        <v>667</v>
      </c>
      <c r="K236" s="13" t="s">
        <v>160</v>
      </c>
      <c r="L236" s="13"/>
      <c r="M236" s="13"/>
      <c r="N236" s="91"/>
      <c r="O236" s="91" t="s">
        <v>304</v>
      </c>
      <c r="P236" s="50">
        <v>78891489</v>
      </c>
      <c r="Q236" s="832"/>
      <c r="R236" s="790"/>
      <c r="S236" s="829"/>
      <c r="T236" s="869"/>
    </row>
    <row r="237" spans="2:22" s="40" customFormat="1" ht="16.25" customHeight="1" thickBot="1" x14ac:dyDescent="0.25">
      <c r="B237" s="853"/>
      <c r="C237" s="94"/>
      <c r="D237" s="184"/>
      <c r="E237" s="212"/>
      <c r="F237" s="212"/>
      <c r="G237" s="96"/>
      <c r="H237" s="96"/>
      <c r="I237" s="96"/>
      <c r="J237" s="96"/>
      <c r="K237" s="96"/>
      <c r="L237" s="96"/>
      <c r="M237" s="96"/>
      <c r="N237" s="96"/>
      <c r="O237" s="189"/>
      <c r="P237" s="492"/>
      <c r="Q237" s="833"/>
      <c r="R237" s="791"/>
      <c r="S237" s="830"/>
      <c r="T237" s="871"/>
    </row>
    <row r="238" spans="2:22" s="40" customFormat="1" ht="16.25" customHeight="1" thickBot="1" x14ac:dyDescent="0.25">
      <c r="B238" s="853"/>
      <c r="C238" s="46"/>
      <c r="D238" s="54"/>
      <c r="E238" s="106"/>
      <c r="F238" s="106"/>
      <c r="G238" s="198"/>
      <c r="H238" s="198"/>
      <c r="I238" s="198"/>
      <c r="J238" s="198"/>
      <c r="K238" s="198"/>
      <c r="L238" s="198"/>
      <c r="M238" s="198"/>
      <c r="N238" s="319"/>
      <c r="O238" s="192"/>
      <c r="P238" s="106"/>
      <c r="Q238" s="106"/>
      <c r="R238" s="190"/>
      <c r="S238" s="190"/>
      <c r="T238" s="190"/>
    </row>
    <row r="239" spans="2:22" s="40" customFormat="1" ht="15.5" customHeight="1" x14ac:dyDescent="0.2">
      <c r="B239" s="853"/>
      <c r="C239" s="87" t="s">
        <v>953</v>
      </c>
      <c r="D239" s="182" t="s">
        <v>656</v>
      </c>
      <c r="E239" s="182"/>
      <c r="F239" s="182"/>
      <c r="G239" s="88"/>
      <c r="H239" s="88"/>
      <c r="I239" s="88"/>
      <c r="J239" s="204" t="s">
        <v>160</v>
      </c>
      <c r="K239" s="194" t="s">
        <v>160</v>
      </c>
      <c r="L239" s="194"/>
      <c r="M239" s="88"/>
      <c r="N239" s="304"/>
      <c r="O239" s="110" t="s">
        <v>304</v>
      </c>
      <c r="P239" s="233">
        <v>78891975</v>
      </c>
      <c r="Q239" s="831" t="s">
        <v>657</v>
      </c>
      <c r="R239" s="789" t="s">
        <v>459</v>
      </c>
      <c r="S239" s="828" t="s">
        <v>611</v>
      </c>
      <c r="T239" s="868" t="s">
        <v>1397</v>
      </c>
    </row>
    <row r="240" spans="2:22" s="40" customFormat="1" ht="15.5" customHeight="1" x14ac:dyDescent="0.2">
      <c r="B240" s="853"/>
      <c r="C240" s="186" t="s">
        <v>953</v>
      </c>
      <c r="D240" s="183" t="s">
        <v>659</v>
      </c>
      <c r="E240" s="183"/>
      <c r="F240" s="183"/>
      <c r="G240" s="13"/>
      <c r="H240" s="13"/>
      <c r="I240" s="13"/>
      <c r="J240" s="13" t="s">
        <v>667</v>
      </c>
      <c r="K240" s="13" t="s">
        <v>160</v>
      </c>
      <c r="L240" s="13"/>
      <c r="M240" s="13"/>
      <c r="N240" s="91"/>
      <c r="O240" s="91" t="s">
        <v>304</v>
      </c>
      <c r="P240" s="50">
        <v>78891490</v>
      </c>
      <c r="Q240" s="832"/>
      <c r="R240" s="790"/>
      <c r="S240" s="829"/>
      <c r="T240" s="869"/>
    </row>
    <row r="241" spans="2:20" s="40" customFormat="1" ht="15.5" customHeight="1" x14ac:dyDescent="0.2">
      <c r="B241" s="853"/>
      <c r="C241" s="47" t="s">
        <v>953</v>
      </c>
      <c r="D241" s="210" t="s">
        <v>658</v>
      </c>
      <c r="E241" s="210"/>
      <c r="F241" s="183"/>
      <c r="G241" s="13"/>
      <c r="H241" s="302" t="s">
        <v>1168</v>
      </c>
      <c r="I241" s="13"/>
      <c r="J241" s="129" t="s">
        <v>452</v>
      </c>
      <c r="K241" s="54" t="s">
        <v>160</v>
      </c>
      <c r="L241" s="54"/>
      <c r="M241" s="13"/>
      <c r="N241" s="91"/>
      <c r="O241" s="91" t="s">
        <v>190</v>
      </c>
      <c r="P241" s="54">
        <v>78891513</v>
      </c>
      <c r="Q241" s="832"/>
      <c r="R241" s="790"/>
      <c r="S241" s="829"/>
      <c r="T241" s="869"/>
    </row>
    <row r="242" spans="2:20" s="40" customFormat="1" ht="16.25" customHeight="1" thickBot="1" x14ac:dyDescent="0.25">
      <c r="B242" s="853"/>
      <c r="C242" s="94"/>
      <c r="D242" s="184"/>
      <c r="E242" s="184"/>
      <c r="F242" s="184"/>
      <c r="G242" s="96"/>
      <c r="H242" s="96"/>
      <c r="I242" s="96"/>
      <c r="J242" s="103"/>
      <c r="K242" s="96"/>
      <c r="L242" s="96"/>
      <c r="M242" s="96"/>
      <c r="N242" s="96"/>
      <c r="O242" s="189"/>
      <c r="P242" s="263"/>
      <c r="Q242" s="833"/>
      <c r="R242" s="791"/>
      <c r="S242" s="830"/>
      <c r="T242" s="871"/>
    </row>
    <row r="243" spans="2:20" s="40" customFormat="1" ht="16.25" customHeight="1" thickBot="1" x14ac:dyDescent="0.25">
      <c r="B243" s="853"/>
      <c r="C243" s="46"/>
      <c r="D243" s="13"/>
      <c r="E243" s="21"/>
      <c r="F243" s="106"/>
      <c r="G243" s="109"/>
      <c r="H243" s="109"/>
      <c r="I243" s="109"/>
      <c r="J243" s="199"/>
      <c r="K243" s="199"/>
      <c r="L243" s="199"/>
      <c r="M243" s="200"/>
      <c r="N243" s="193"/>
      <c r="O243" s="201"/>
      <c r="P243" s="106"/>
      <c r="Q243" s="106"/>
      <c r="R243" s="190"/>
      <c r="S243" s="190"/>
      <c r="T243" s="190"/>
    </row>
    <row r="244" spans="2:20" s="40" customFormat="1" ht="15.5" customHeight="1" x14ac:dyDescent="0.2">
      <c r="B244" s="853"/>
      <c r="C244" s="87" t="s">
        <v>953</v>
      </c>
      <c r="D244" s="182" t="s">
        <v>660</v>
      </c>
      <c r="E244" s="182"/>
      <c r="F244" s="182"/>
      <c r="G244" s="88"/>
      <c r="H244" s="88"/>
      <c r="I244" s="182"/>
      <c r="J244" s="307" t="s">
        <v>452</v>
      </c>
      <c r="K244" s="194" t="s">
        <v>160</v>
      </c>
      <c r="L244" s="194"/>
      <c r="M244" s="88"/>
      <c r="N244" s="304"/>
      <c r="O244" s="110" t="s">
        <v>1163</v>
      </c>
      <c r="P244" s="834">
        <v>78891509</v>
      </c>
      <c r="Q244" s="831" t="s">
        <v>661</v>
      </c>
      <c r="R244" s="789" t="s">
        <v>454</v>
      </c>
      <c r="S244" s="828" t="s">
        <v>611</v>
      </c>
      <c r="T244" s="868" t="s">
        <v>1399</v>
      </c>
    </row>
    <row r="245" spans="2:20" s="40" customFormat="1" ht="15.5" customHeight="1" thickBot="1" x14ac:dyDescent="0.25">
      <c r="B245" s="853"/>
      <c r="C245" s="186"/>
      <c r="D245" s="183" t="s">
        <v>663</v>
      </c>
      <c r="E245" s="183"/>
      <c r="F245" s="183"/>
      <c r="G245" s="13"/>
      <c r="H245" s="13"/>
      <c r="I245" s="13"/>
      <c r="J245" s="129" t="s">
        <v>452</v>
      </c>
      <c r="K245" s="54" t="s">
        <v>160</v>
      </c>
      <c r="L245" s="54"/>
      <c r="M245" s="13"/>
      <c r="N245" s="91"/>
      <c r="O245" s="102" t="s">
        <v>190</v>
      </c>
      <c r="P245" s="738"/>
      <c r="Q245" s="832"/>
      <c r="R245" s="790"/>
      <c r="S245" s="829"/>
      <c r="T245" s="869"/>
    </row>
    <row r="246" spans="2:20" s="40" customFormat="1" ht="15.5" customHeight="1" x14ac:dyDescent="0.2">
      <c r="B246" s="853"/>
      <c r="C246" s="90" t="s">
        <v>1173</v>
      </c>
      <c r="D246" s="210" t="s">
        <v>662</v>
      </c>
      <c r="E246" s="210"/>
      <c r="F246" s="183"/>
      <c r="G246" s="13"/>
      <c r="H246" s="357" t="s">
        <v>1165</v>
      </c>
      <c r="I246" s="13"/>
      <c r="J246" s="13" t="s">
        <v>667</v>
      </c>
      <c r="K246" s="13" t="s">
        <v>160</v>
      </c>
      <c r="L246" s="13"/>
      <c r="M246" s="13"/>
      <c r="N246" s="91"/>
      <c r="O246" s="91" t="s">
        <v>304</v>
      </c>
      <c r="P246" s="736">
        <v>78891983</v>
      </c>
      <c r="Q246" s="832"/>
      <c r="R246" s="790"/>
      <c r="S246" s="829"/>
      <c r="T246" s="869"/>
    </row>
    <row r="247" spans="2:20" s="40" customFormat="1" ht="16.25" customHeight="1" thickBot="1" x14ac:dyDescent="0.25">
      <c r="B247" s="853"/>
      <c r="C247" s="94"/>
      <c r="D247" s="184"/>
      <c r="E247" s="184"/>
      <c r="F247" s="184"/>
      <c r="G247" s="96"/>
      <c r="H247" s="96"/>
      <c r="I247" s="96"/>
      <c r="J247" s="103"/>
      <c r="K247" s="96"/>
      <c r="L247" s="96"/>
      <c r="M247" s="96"/>
      <c r="N247" s="96"/>
      <c r="O247" s="189"/>
      <c r="P247" s="835"/>
      <c r="Q247" s="833"/>
      <c r="R247" s="791"/>
      <c r="S247" s="830"/>
      <c r="T247" s="871"/>
    </row>
    <row r="248" spans="2:20" s="40" customFormat="1" ht="16.25" customHeight="1" thickBot="1" x14ac:dyDescent="0.25">
      <c r="B248" s="853"/>
      <c r="C248" s="46"/>
      <c r="D248" s="54"/>
      <c r="E248" s="106"/>
      <c r="F248" s="106"/>
      <c r="G248" s="202"/>
      <c r="H248" s="202"/>
      <c r="I248" s="202"/>
      <c r="J248" s="202"/>
      <c r="K248" s="202"/>
      <c r="L248" s="202"/>
      <c r="M248" s="202"/>
      <c r="N248" s="320"/>
      <c r="O248" s="203"/>
      <c r="P248" s="106"/>
      <c r="Q248" s="106"/>
      <c r="R248" s="190"/>
      <c r="S248" s="190"/>
      <c r="T248" s="190"/>
    </row>
    <row r="249" spans="2:20" s="40" customFormat="1" ht="15.5" customHeight="1" x14ac:dyDescent="0.2">
      <c r="B249" s="853"/>
      <c r="C249" s="87" t="s">
        <v>953</v>
      </c>
      <c r="D249" s="182" t="s">
        <v>664</v>
      </c>
      <c r="E249" s="182"/>
      <c r="F249" s="182"/>
      <c r="G249" s="88"/>
      <c r="H249" s="88" t="s">
        <v>1167</v>
      </c>
      <c r="I249" s="88"/>
      <c r="J249" s="204" t="s">
        <v>160</v>
      </c>
      <c r="K249" s="194" t="s">
        <v>160</v>
      </c>
      <c r="L249" s="194"/>
      <c r="M249" s="88"/>
      <c r="N249" s="88"/>
      <c r="O249" s="110" t="s">
        <v>304</v>
      </c>
      <c r="P249" s="233">
        <v>78891566</v>
      </c>
      <c r="Q249" s="831" t="s">
        <v>665</v>
      </c>
      <c r="R249" s="789" t="s">
        <v>967</v>
      </c>
      <c r="S249" s="828" t="s">
        <v>611</v>
      </c>
      <c r="T249" s="868" t="s">
        <v>1401</v>
      </c>
    </row>
    <row r="250" spans="2:20" s="40" customFormat="1" ht="15.5" customHeight="1" x14ac:dyDescent="0.2">
      <c r="B250" s="853"/>
      <c r="C250" s="186" t="s">
        <v>953</v>
      </c>
      <c r="D250" s="210" t="s">
        <v>666</v>
      </c>
      <c r="E250" s="210"/>
      <c r="F250" s="183"/>
      <c r="G250" s="13"/>
      <c r="H250" s="13"/>
      <c r="I250" s="13"/>
      <c r="J250" s="129" t="s">
        <v>452</v>
      </c>
      <c r="K250" s="64" t="s">
        <v>49</v>
      </c>
      <c r="L250" s="64"/>
      <c r="M250" s="13"/>
      <c r="N250" s="13"/>
      <c r="O250" s="51" t="s">
        <v>1172</v>
      </c>
      <c r="P250" s="54">
        <v>78891581</v>
      </c>
      <c r="Q250" s="832"/>
      <c r="R250" s="790"/>
      <c r="S250" s="829"/>
      <c r="T250" s="869"/>
    </row>
    <row r="251" spans="2:20" s="40" customFormat="1" ht="15.5" customHeight="1" x14ac:dyDescent="0.2">
      <c r="B251" s="853"/>
      <c r="C251" s="90"/>
      <c r="D251" s="183"/>
      <c r="E251" s="183"/>
      <c r="F251" s="183"/>
      <c r="G251" s="13"/>
      <c r="H251" s="13"/>
      <c r="I251" s="13"/>
      <c r="J251" s="13"/>
      <c r="K251" s="187"/>
      <c r="L251" s="187"/>
      <c r="M251" s="13"/>
      <c r="N251" s="13"/>
      <c r="O251" s="188"/>
      <c r="P251" s="50"/>
      <c r="Q251" s="832"/>
      <c r="R251" s="790"/>
      <c r="S251" s="829"/>
      <c r="T251" s="869"/>
    </row>
    <row r="252" spans="2:20" s="40" customFormat="1" ht="16.25" customHeight="1" thickBot="1" x14ac:dyDescent="0.25">
      <c r="B252" s="853"/>
      <c r="C252" s="94"/>
      <c r="D252" s="184"/>
      <c r="E252" s="184"/>
      <c r="F252" s="184"/>
      <c r="G252" s="96"/>
      <c r="H252" s="96"/>
      <c r="I252" s="96"/>
      <c r="J252" s="103"/>
      <c r="K252" s="96"/>
      <c r="L252" s="96"/>
      <c r="M252" s="96"/>
      <c r="N252" s="96"/>
      <c r="O252" s="189"/>
      <c r="P252" s="263"/>
      <c r="Q252" s="833"/>
      <c r="R252" s="791"/>
      <c r="S252" s="830"/>
      <c r="T252" s="871"/>
    </row>
    <row r="253" spans="2:20" s="40" customFormat="1" ht="16.25" customHeight="1" thickBot="1" x14ac:dyDescent="0.25">
      <c r="B253" s="853"/>
      <c r="C253" s="46"/>
      <c r="D253" s="13"/>
      <c r="E253" s="21"/>
      <c r="F253" s="21"/>
      <c r="G253" s="21"/>
      <c r="H253" s="21"/>
      <c r="I253" s="21"/>
      <c r="J253" s="136"/>
      <c r="K253" s="136"/>
      <c r="L253" s="136"/>
      <c r="M253" s="21"/>
      <c r="N253" s="21"/>
      <c r="O253" s="178"/>
      <c r="P253" s="124"/>
      <c r="Q253" s="20"/>
      <c r="R253" s="20"/>
      <c r="S253" s="21"/>
      <c r="T253" s="21"/>
    </row>
    <row r="254" spans="2:20" s="40" customFormat="1" ht="15.5" customHeight="1" x14ac:dyDescent="0.2">
      <c r="B254" s="853"/>
      <c r="C254" s="87"/>
      <c r="D254" s="182" t="s">
        <v>669</v>
      </c>
      <c r="E254" s="182"/>
      <c r="F254" s="182"/>
      <c r="G254" s="88"/>
      <c r="H254" s="88"/>
      <c r="I254" s="88"/>
      <c r="J254" s="204" t="s">
        <v>160</v>
      </c>
      <c r="K254" s="194" t="s">
        <v>160</v>
      </c>
      <c r="L254" s="194"/>
      <c r="M254" s="88"/>
      <c r="N254" s="304"/>
      <c r="O254" s="110" t="s">
        <v>304</v>
      </c>
      <c r="P254" s="233">
        <v>78891575</v>
      </c>
      <c r="Q254" s="831" t="s">
        <v>671</v>
      </c>
      <c r="R254" s="789"/>
      <c r="S254" s="828" t="s">
        <v>611</v>
      </c>
      <c r="T254" s="868" t="s">
        <v>1400</v>
      </c>
    </row>
    <row r="255" spans="2:20" s="40" customFormat="1" ht="15.5" customHeight="1" x14ac:dyDescent="0.2">
      <c r="B255" s="853"/>
      <c r="C255" s="186"/>
      <c r="D255" s="183" t="s">
        <v>670</v>
      </c>
      <c r="E255" s="183"/>
      <c r="F255" s="183"/>
      <c r="G255" s="13"/>
      <c r="H255" s="13"/>
      <c r="I255" s="13"/>
      <c r="J255" s="129" t="s">
        <v>452</v>
      </c>
      <c r="K255" s="64" t="s">
        <v>49</v>
      </c>
      <c r="L255" s="64"/>
      <c r="M255" s="13"/>
      <c r="N255" s="13"/>
      <c r="O255" s="51" t="s">
        <v>968</v>
      </c>
      <c r="P255" s="54">
        <v>78891578</v>
      </c>
      <c r="Q255" s="832"/>
      <c r="R255" s="790"/>
      <c r="S255" s="829"/>
      <c r="T255" s="869"/>
    </row>
    <row r="256" spans="2:20" s="40" customFormat="1" ht="15.5" customHeight="1" x14ac:dyDescent="0.2">
      <c r="B256" s="853"/>
      <c r="C256" s="90"/>
      <c r="D256" s="47"/>
      <c r="E256" s="47"/>
      <c r="H256" s="13"/>
      <c r="M256" s="13"/>
      <c r="N256" s="13"/>
      <c r="O256" s="188"/>
      <c r="P256" s="50"/>
      <c r="Q256" s="832"/>
      <c r="R256" s="790"/>
      <c r="S256" s="829"/>
      <c r="T256" s="869"/>
    </row>
    <row r="257" spans="2:23" s="40" customFormat="1" ht="16.25" customHeight="1" thickBot="1" x14ac:dyDescent="0.25">
      <c r="B257" s="853"/>
      <c r="C257" s="94"/>
      <c r="D257" s="184"/>
      <c r="E257" s="184"/>
      <c r="F257" s="184"/>
      <c r="G257" s="96"/>
      <c r="H257" s="96"/>
      <c r="I257" s="96"/>
      <c r="J257" s="103"/>
      <c r="K257" s="96"/>
      <c r="L257" s="96"/>
      <c r="M257" s="96"/>
      <c r="N257" s="96"/>
      <c r="O257" s="189"/>
      <c r="P257" s="263"/>
      <c r="Q257" s="833"/>
      <c r="R257" s="791"/>
      <c r="S257" s="830"/>
      <c r="T257" s="871"/>
    </row>
    <row r="258" spans="2:23" s="40" customFormat="1" ht="17" thickBot="1" x14ac:dyDescent="0.25">
      <c r="B258" s="853"/>
      <c r="D258" s="21"/>
      <c r="E258" s="21"/>
      <c r="F258" s="21"/>
      <c r="G258" s="21"/>
      <c r="H258" s="21"/>
      <c r="I258" s="21"/>
      <c r="J258" s="136"/>
      <c r="K258" s="136"/>
      <c r="L258" s="136"/>
      <c r="M258" s="21"/>
      <c r="N258" s="21"/>
      <c r="O258" s="178"/>
      <c r="P258" s="124"/>
      <c r="Q258" s="20"/>
      <c r="R258" s="20"/>
      <c r="S258" s="21"/>
      <c r="T258" s="21"/>
    </row>
    <row r="259" spans="2:23" s="40" customFormat="1" x14ac:dyDescent="0.2">
      <c r="B259" s="853"/>
      <c r="C259" s="87" t="s">
        <v>1286</v>
      </c>
      <c r="D259" s="182"/>
      <c r="E259" s="182"/>
      <c r="F259" s="182"/>
      <c r="G259" s="88"/>
      <c r="H259" s="88"/>
      <c r="I259" s="88"/>
      <c r="J259" s="88"/>
      <c r="K259" s="88"/>
      <c r="L259" s="88"/>
      <c r="M259" s="88"/>
      <c r="N259" s="304"/>
      <c r="O259" s="110"/>
      <c r="P259" s="233"/>
      <c r="Q259" s="831" t="s">
        <v>965</v>
      </c>
      <c r="R259" s="789" t="s">
        <v>454</v>
      </c>
      <c r="S259" s="828" t="s">
        <v>611</v>
      </c>
      <c r="T259" s="868" t="s">
        <v>1402</v>
      </c>
    </row>
    <row r="260" spans="2:23" s="40" customFormat="1" x14ac:dyDescent="0.2">
      <c r="B260" s="853"/>
      <c r="C260" s="90" t="s">
        <v>1286</v>
      </c>
      <c r="D260" s="210" t="s">
        <v>966</v>
      </c>
      <c r="E260" s="210"/>
      <c r="F260" s="183"/>
      <c r="G260" s="13"/>
      <c r="H260" s="13"/>
      <c r="I260" s="13"/>
      <c r="J260" s="129" t="s">
        <v>452</v>
      </c>
      <c r="K260" s="13" t="s">
        <v>160</v>
      </c>
      <c r="L260" s="13"/>
      <c r="M260" s="13"/>
      <c r="N260" s="13"/>
      <c r="O260" s="91" t="s">
        <v>304</v>
      </c>
      <c r="P260" s="54">
        <v>78891563</v>
      </c>
      <c r="Q260" s="832"/>
      <c r="R260" s="790"/>
      <c r="S260" s="829"/>
      <c r="T260" s="869"/>
    </row>
    <row r="261" spans="2:23" s="40" customFormat="1" x14ac:dyDescent="0.2">
      <c r="B261" s="853"/>
      <c r="C261" s="90" t="s">
        <v>1286</v>
      </c>
      <c r="D261" s="183"/>
      <c r="E261" s="183"/>
      <c r="F261" s="183"/>
      <c r="G261" s="13"/>
      <c r="H261" s="13"/>
      <c r="I261" s="13"/>
      <c r="J261" s="368" t="s">
        <v>1287</v>
      </c>
      <c r="K261" s="13"/>
      <c r="L261" s="13"/>
      <c r="M261" s="13"/>
      <c r="N261" s="13"/>
      <c r="O261" s="188" t="s">
        <v>1297</v>
      </c>
      <c r="P261" s="50"/>
      <c r="Q261" s="832"/>
      <c r="R261" s="790"/>
      <c r="S261" s="829"/>
      <c r="T261" s="869"/>
    </row>
    <row r="262" spans="2:23" s="40" customFormat="1" ht="17.5" customHeight="1" thickBot="1" x14ac:dyDescent="0.25">
      <c r="B262" s="853"/>
      <c r="C262" s="94"/>
      <c r="D262" s="184"/>
      <c r="E262" s="184"/>
      <c r="F262" s="184"/>
      <c r="G262" s="96"/>
      <c r="H262" s="96"/>
      <c r="I262" s="196"/>
      <c r="J262" s="368" t="s">
        <v>1288</v>
      </c>
      <c r="K262" s="96"/>
      <c r="L262" s="96"/>
      <c r="M262" s="96"/>
      <c r="N262" s="96"/>
      <c r="O262" s="189" t="s">
        <v>1296</v>
      </c>
      <c r="P262" s="263"/>
      <c r="Q262" s="833"/>
      <c r="R262" s="791"/>
      <c r="S262" s="830"/>
      <c r="T262" s="871"/>
    </row>
    <row r="263" spans="2:23" s="44" customFormat="1" ht="17" thickBot="1" x14ac:dyDescent="0.25">
      <c r="C263" s="40"/>
      <c r="D263" s="21"/>
      <c r="E263" s="21"/>
      <c r="F263" s="21"/>
      <c r="G263" s="21"/>
      <c r="H263" s="21"/>
      <c r="I263" s="21"/>
      <c r="J263" s="136"/>
      <c r="K263" s="136"/>
      <c r="L263" s="136"/>
      <c r="M263" s="21"/>
      <c r="N263" s="21"/>
      <c r="O263" s="178"/>
      <c r="P263" s="124"/>
      <c r="Q263" s="20"/>
      <c r="R263" s="20"/>
      <c r="S263" s="21"/>
      <c r="T263" s="21"/>
      <c r="U263" s="40"/>
      <c r="V263" s="40"/>
      <c r="W263" s="40"/>
    </row>
    <row r="264" spans="2:23" s="44" customFormat="1" x14ac:dyDescent="0.2">
      <c r="B264" s="846">
        <v>45638</v>
      </c>
      <c r="C264" s="87"/>
      <c r="D264" s="182" t="s">
        <v>1848</v>
      </c>
      <c r="E264" s="182"/>
      <c r="F264" s="88"/>
      <c r="G264" s="88"/>
      <c r="H264" s="88" t="s">
        <v>1859</v>
      </c>
      <c r="I264" s="88"/>
      <c r="J264" s="194" t="s">
        <v>160</v>
      </c>
      <c r="K264" s="194" t="s">
        <v>160</v>
      </c>
      <c r="L264" s="194"/>
      <c r="M264" s="88"/>
      <c r="N264" s="88"/>
      <c r="O264" s="440" t="s">
        <v>1902</v>
      </c>
      <c r="P264" s="834">
        <v>542083091</v>
      </c>
      <c r="Q264" s="831" t="s">
        <v>672</v>
      </c>
      <c r="R264" s="789" t="s">
        <v>1782</v>
      </c>
      <c r="S264" s="828" t="s">
        <v>610</v>
      </c>
      <c r="T264" s="89"/>
      <c r="U264" s="40"/>
      <c r="V264" s="40"/>
      <c r="W264" s="40"/>
    </row>
    <row r="265" spans="2:23" s="44" customFormat="1" x14ac:dyDescent="0.2">
      <c r="B265" s="847"/>
      <c r="C265" s="186"/>
      <c r="D265" s="210" t="s">
        <v>1849</v>
      </c>
      <c r="E265" s="210"/>
      <c r="F265" s="13"/>
      <c r="G265" s="13"/>
      <c r="H265" s="13" t="s">
        <v>1858</v>
      </c>
      <c r="I265" s="13" t="s">
        <v>1851</v>
      </c>
      <c r="J265" s="13" t="s">
        <v>160</v>
      </c>
      <c r="K265" s="13"/>
      <c r="L265" s="13"/>
      <c r="M265" s="13"/>
      <c r="N265" s="13"/>
      <c r="O265" s="12" t="s">
        <v>221</v>
      </c>
      <c r="P265" s="737"/>
      <c r="Q265" s="832"/>
      <c r="R265" s="790"/>
      <c r="S265" s="829"/>
      <c r="T265" s="93"/>
      <c r="U265" s="40"/>
      <c r="V265" s="40"/>
      <c r="W265" s="40"/>
    </row>
    <row r="266" spans="2:23" s="44" customFormat="1" x14ac:dyDescent="0.2">
      <c r="B266" s="847"/>
      <c r="C266" s="90"/>
      <c r="D266" s="183" t="s">
        <v>1905</v>
      </c>
      <c r="E266" s="183"/>
      <c r="F266" s="13"/>
      <c r="G266" s="13"/>
      <c r="H266" s="13" t="s">
        <v>1850</v>
      </c>
      <c r="I266" s="13"/>
      <c r="J266" s="26" t="s">
        <v>160</v>
      </c>
      <c r="K266" s="487"/>
      <c r="L266" s="487"/>
      <c r="M266" s="13"/>
      <c r="N266" s="13"/>
      <c r="O266" s="13" t="s">
        <v>1901</v>
      </c>
      <c r="P266" s="737"/>
      <c r="Q266" s="832"/>
      <c r="R266" s="790"/>
      <c r="S266" s="829"/>
      <c r="T266" s="93"/>
      <c r="U266" s="40"/>
      <c r="V266" s="40"/>
      <c r="W266" s="40"/>
    </row>
    <row r="267" spans="2:23" s="44" customFormat="1" ht="18" thickBot="1" x14ac:dyDescent="0.25">
      <c r="B267" s="847"/>
      <c r="C267" s="94"/>
      <c r="D267" s="184" t="s">
        <v>1904</v>
      </c>
      <c r="E267" s="184"/>
      <c r="F267" s="96"/>
      <c r="G267" s="96"/>
      <c r="H267" s="96"/>
      <c r="I267" s="96"/>
      <c r="J267" s="103"/>
      <c r="K267" s="96" t="s">
        <v>160</v>
      </c>
      <c r="L267" s="96"/>
      <c r="M267" s="96"/>
      <c r="N267" s="96"/>
      <c r="O267" s="189" t="s">
        <v>1903</v>
      </c>
      <c r="P267" s="492" t="s">
        <v>447</v>
      </c>
      <c r="Q267" s="833"/>
      <c r="R267" s="791"/>
      <c r="S267" s="830"/>
      <c r="T267" s="97"/>
      <c r="U267" s="40"/>
      <c r="V267" s="40"/>
      <c r="W267" s="40"/>
    </row>
    <row r="268" spans="2:23" s="40" customFormat="1" ht="26" x14ac:dyDescent="0.2">
      <c r="B268" s="358"/>
      <c r="D268" s="21"/>
      <c r="E268" s="21"/>
      <c r="F268" s="21"/>
      <c r="G268" s="21"/>
      <c r="H268" s="21"/>
      <c r="I268" s="21"/>
      <c r="J268" s="136"/>
      <c r="K268" s="136"/>
      <c r="L268" s="136"/>
      <c r="M268" s="21"/>
      <c r="N268" s="21"/>
      <c r="O268" s="178"/>
      <c r="P268" s="124"/>
      <c r="Q268" s="20"/>
      <c r="R268" s="20"/>
      <c r="S268" s="21"/>
      <c r="T268" s="21"/>
    </row>
    <row r="269" spans="2:23" s="40" customFormat="1" x14ac:dyDescent="0.2">
      <c r="D269" s="21"/>
      <c r="E269" s="21"/>
      <c r="F269" s="21"/>
      <c r="G269" s="21"/>
      <c r="H269" s="21"/>
      <c r="I269" s="21"/>
      <c r="J269" s="136"/>
      <c r="K269" s="136"/>
      <c r="L269" s="136"/>
      <c r="M269" s="21"/>
      <c r="N269" s="21"/>
      <c r="O269" s="178"/>
      <c r="P269" s="124"/>
      <c r="Q269" s="20"/>
      <c r="R269" s="20"/>
      <c r="S269" s="21"/>
      <c r="T269" s="21"/>
    </row>
    <row r="270" spans="2:23" s="40" customFormat="1" ht="15.75" customHeight="1" x14ac:dyDescent="0.2">
      <c r="B270" s="855">
        <v>45491</v>
      </c>
      <c r="C270" s="602" t="s">
        <v>1312</v>
      </c>
      <c r="D270" s="602"/>
      <c r="E270" s="602"/>
      <c r="F270" s="602"/>
      <c r="G270" s="602"/>
      <c r="H270" s="13"/>
      <c r="I270" s="602"/>
      <c r="J270" s="602"/>
      <c r="K270" s="26"/>
      <c r="L270" s="26"/>
      <c r="M270" s="13"/>
      <c r="N270" s="13"/>
      <c r="O270" s="99"/>
      <c r="P270" s="50"/>
      <c r="Q270" s="122"/>
      <c r="R270" s="122"/>
      <c r="S270" s="13"/>
      <c r="T270" s="13"/>
    </row>
    <row r="271" spans="2:23" s="40" customFormat="1" ht="16.25" customHeight="1" x14ac:dyDescent="0.2">
      <c r="B271" s="855"/>
      <c r="C271" s="602"/>
      <c r="D271" s="602"/>
      <c r="E271" s="602"/>
      <c r="F271" s="602"/>
      <c r="G271" s="602"/>
      <c r="H271" s="13"/>
      <c r="I271" s="602"/>
      <c r="J271" s="602"/>
      <c r="K271" s="26"/>
      <c r="L271" s="26"/>
      <c r="M271" s="13"/>
      <c r="N271" s="13"/>
      <c r="O271" s="99"/>
      <c r="P271" s="50"/>
      <c r="Q271" s="122"/>
      <c r="R271" s="122"/>
      <c r="S271" s="13"/>
      <c r="T271" s="13"/>
    </row>
    <row r="272" spans="2:23" s="40" customFormat="1" ht="16.25" customHeight="1" thickBot="1" x14ac:dyDescent="0.25">
      <c r="B272" s="855"/>
      <c r="D272" s="21"/>
      <c r="E272" s="21"/>
      <c r="F272" s="21"/>
      <c r="G272" s="21"/>
      <c r="H272" s="21"/>
      <c r="I272" s="21"/>
      <c r="J272" s="136"/>
      <c r="K272" s="136"/>
      <c r="L272" s="136"/>
      <c r="M272" s="21"/>
      <c r="N272" s="21"/>
      <c r="O272" s="178"/>
      <c r="P272" s="124"/>
      <c r="Q272" s="20"/>
      <c r="R272" s="20"/>
      <c r="S272" s="21"/>
      <c r="T272" s="21"/>
    </row>
    <row r="273" spans="2:20" s="40" customFormat="1" ht="15.75" customHeight="1" x14ac:dyDescent="0.2">
      <c r="B273" s="856"/>
      <c r="C273" s="490"/>
      <c r="D273" s="88" t="s">
        <v>1179</v>
      </c>
      <c r="E273" s="88"/>
      <c r="F273" s="88"/>
      <c r="G273" s="88"/>
      <c r="H273" s="88" t="s">
        <v>1276</v>
      </c>
      <c r="I273" s="88"/>
      <c r="J273" s="105" t="s">
        <v>160</v>
      </c>
      <c r="K273" s="101" t="s">
        <v>452</v>
      </c>
      <c r="L273" s="101"/>
      <c r="M273" s="88"/>
      <c r="N273" s="88"/>
      <c r="O273" s="440" t="s">
        <v>221</v>
      </c>
      <c r="P273" s="834">
        <v>542082739</v>
      </c>
      <c r="Q273" s="831" t="s">
        <v>1174</v>
      </c>
      <c r="R273" s="826" t="s">
        <v>114</v>
      </c>
      <c r="S273" s="828" t="s">
        <v>610</v>
      </c>
      <c r="T273" s="889"/>
    </row>
    <row r="274" spans="2:20" s="40" customFormat="1" ht="15.75" customHeight="1" x14ac:dyDescent="0.2">
      <c r="B274" s="856"/>
      <c r="C274" s="481"/>
      <c r="D274" s="13" t="s">
        <v>1180</v>
      </c>
      <c r="E274" s="13"/>
      <c r="F274" s="13"/>
      <c r="G274" s="13"/>
      <c r="H274" s="13" t="s">
        <v>1274</v>
      </c>
      <c r="I274" s="13"/>
      <c r="J274" s="64" t="s">
        <v>49</v>
      </c>
      <c r="K274" s="26" t="s">
        <v>160</v>
      </c>
      <c r="L274" s="26"/>
      <c r="M274" s="13"/>
      <c r="N274" s="13"/>
      <c r="O274" s="99" t="s">
        <v>1194</v>
      </c>
      <c r="P274" s="737"/>
      <c r="Q274" s="832"/>
      <c r="R274" s="753"/>
      <c r="S274" s="829"/>
      <c r="T274" s="890"/>
    </row>
    <row r="275" spans="2:20" s="40" customFormat="1" ht="15.75" customHeight="1" x14ac:dyDescent="0.2">
      <c r="B275" s="856"/>
      <c r="C275" s="481"/>
      <c r="D275" s="13" t="s">
        <v>1181</v>
      </c>
      <c r="E275" s="13"/>
      <c r="F275" s="13"/>
      <c r="G275" s="13"/>
      <c r="H275" s="13" t="s">
        <v>1273</v>
      </c>
      <c r="I275" s="13"/>
      <c r="J275" s="26" t="s">
        <v>160</v>
      </c>
      <c r="K275" s="26" t="s">
        <v>160</v>
      </c>
      <c r="L275" s="26"/>
      <c r="M275" s="13"/>
      <c r="N275" s="13"/>
      <c r="O275" s="99" t="s">
        <v>284</v>
      </c>
      <c r="P275" s="737"/>
      <c r="Q275" s="832"/>
      <c r="R275" s="753"/>
      <c r="S275" s="829"/>
      <c r="T275" s="890"/>
    </row>
    <row r="276" spans="2:20" s="40" customFormat="1" ht="16" customHeight="1" thickBot="1" x14ac:dyDescent="0.25">
      <c r="B276" s="856"/>
      <c r="C276" s="482"/>
      <c r="D276" s="96"/>
      <c r="E276" s="96"/>
      <c r="F276" s="96"/>
      <c r="G276" s="96"/>
      <c r="H276" s="96"/>
      <c r="I276" s="96"/>
      <c r="J276" s="370"/>
      <c r="K276" s="107"/>
      <c r="L276" s="107"/>
      <c r="M276" s="96"/>
      <c r="N276" s="96"/>
      <c r="O276" s="491" t="s">
        <v>1296</v>
      </c>
      <c r="P276" s="835"/>
      <c r="Q276" s="833"/>
      <c r="R276" s="827"/>
      <c r="S276" s="830"/>
      <c r="T276" s="891"/>
    </row>
    <row r="277" spans="2:20" s="40" customFormat="1" ht="15.75" customHeight="1" thickBot="1" x14ac:dyDescent="0.25">
      <c r="B277" s="855"/>
      <c r="D277" s="21"/>
      <c r="E277" s="21"/>
      <c r="F277" s="21"/>
      <c r="G277" s="21"/>
      <c r="H277" s="21"/>
      <c r="I277" s="21"/>
      <c r="J277" s="136"/>
      <c r="K277" s="136"/>
      <c r="L277" s="136"/>
      <c r="M277" s="21"/>
      <c r="N277" s="21"/>
      <c r="O277" s="178"/>
      <c r="P277" s="124"/>
      <c r="Q277" s="20"/>
      <c r="R277" s="20"/>
      <c r="S277" s="21"/>
      <c r="T277" s="21"/>
    </row>
    <row r="278" spans="2:20" s="40" customFormat="1" ht="16.25" customHeight="1" x14ac:dyDescent="0.2">
      <c r="B278" s="855"/>
      <c r="C278" s="490" t="s">
        <v>1294</v>
      </c>
      <c r="D278" s="88" t="s">
        <v>1182</v>
      </c>
      <c r="E278" s="88"/>
      <c r="F278" s="88"/>
      <c r="G278" s="88"/>
      <c r="H278" s="88" t="s">
        <v>1195</v>
      </c>
      <c r="I278" s="88"/>
      <c r="J278" s="105" t="s">
        <v>160</v>
      </c>
      <c r="K278" s="101" t="s">
        <v>452</v>
      </c>
      <c r="L278" s="101"/>
      <c r="M278" s="88"/>
      <c r="N278" s="88"/>
      <c r="O278" s="440" t="s">
        <v>1289</v>
      </c>
      <c r="P278" s="834">
        <v>788891582</v>
      </c>
      <c r="Q278" s="831" t="s">
        <v>1175</v>
      </c>
      <c r="R278" s="826" t="s">
        <v>454</v>
      </c>
      <c r="S278" s="828" t="s">
        <v>611</v>
      </c>
      <c r="T278" s="889"/>
    </row>
    <row r="279" spans="2:20" s="40" customFormat="1" ht="15.75" customHeight="1" x14ac:dyDescent="0.2">
      <c r="B279" s="855"/>
      <c r="C279" s="481"/>
      <c r="D279" s="13" t="s">
        <v>1183</v>
      </c>
      <c r="E279" s="13"/>
      <c r="F279" s="13"/>
      <c r="G279" s="13"/>
      <c r="H279" s="13" t="s">
        <v>1195</v>
      </c>
      <c r="I279" s="13"/>
      <c r="J279" s="64" t="s">
        <v>160</v>
      </c>
      <c r="K279" s="26" t="s">
        <v>452</v>
      </c>
      <c r="L279" s="26"/>
      <c r="M279" s="13"/>
      <c r="N279" s="13"/>
      <c r="O279" s="99" t="s">
        <v>1292</v>
      </c>
      <c r="P279" s="737"/>
      <c r="Q279" s="832"/>
      <c r="R279" s="753"/>
      <c r="S279" s="829"/>
      <c r="T279" s="890"/>
    </row>
    <row r="280" spans="2:20" s="40" customFormat="1" ht="15.75" customHeight="1" x14ac:dyDescent="0.2">
      <c r="B280" s="855"/>
      <c r="C280" s="481"/>
      <c r="D280" s="13" t="s">
        <v>1184</v>
      </c>
      <c r="E280" s="13"/>
      <c r="F280" s="13"/>
      <c r="G280" s="13"/>
      <c r="H280" s="13" t="s">
        <v>1195</v>
      </c>
      <c r="I280" s="13"/>
      <c r="J280" s="26" t="s">
        <v>160</v>
      </c>
      <c r="K280" s="26" t="s">
        <v>452</v>
      </c>
      <c r="L280" s="26"/>
      <c r="M280" s="13"/>
      <c r="N280" s="13"/>
      <c r="O280" s="99" t="s">
        <v>1289</v>
      </c>
      <c r="P280" s="737">
        <v>788891565</v>
      </c>
      <c r="Q280" s="832"/>
      <c r="R280" s="753"/>
      <c r="S280" s="829"/>
      <c r="T280" s="890"/>
    </row>
    <row r="281" spans="2:20" s="40" customFormat="1" ht="16" customHeight="1" thickBot="1" x14ac:dyDescent="0.25">
      <c r="B281" s="855"/>
      <c r="C281" s="482"/>
      <c r="D281" s="96" t="s">
        <v>1185</v>
      </c>
      <c r="E281" s="96"/>
      <c r="F281" s="96"/>
      <c r="G281" s="96"/>
      <c r="H281" s="96" t="s">
        <v>1195</v>
      </c>
      <c r="I281" s="96"/>
      <c r="J281" s="370" t="s">
        <v>160</v>
      </c>
      <c r="K281" s="107" t="s">
        <v>452</v>
      </c>
      <c r="L281" s="107"/>
      <c r="M281" s="96"/>
      <c r="N281" s="96"/>
      <c r="O281" s="491" t="s">
        <v>1292</v>
      </c>
      <c r="P281" s="835"/>
      <c r="Q281" s="833"/>
      <c r="R281" s="827"/>
      <c r="S281" s="830"/>
      <c r="T281" s="891"/>
    </row>
    <row r="282" spans="2:20" s="40" customFormat="1" ht="16.25" customHeight="1" thickBot="1" x14ac:dyDescent="0.25">
      <c r="B282" s="855"/>
      <c r="D282" s="21"/>
      <c r="E282" s="21"/>
      <c r="F282" s="21"/>
      <c r="G282" s="21"/>
      <c r="H282" s="21"/>
      <c r="I282" s="21"/>
      <c r="J282" s="136"/>
      <c r="K282" s="136"/>
      <c r="L282" s="136"/>
      <c r="M282" s="21"/>
      <c r="N282" s="21"/>
      <c r="O282" s="178"/>
      <c r="P282" s="124"/>
      <c r="Q282" s="20"/>
      <c r="R282" s="20"/>
      <c r="S282" s="21"/>
      <c r="T282" s="21"/>
    </row>
    <row r="283" spans="2:20" s="40" customFormat="1" ht="16.25" customHeight="1" x14ac:dyDescent="0.2">
      <c r="B283" s="855"/>
      <c r="C283" s="490"/>
      <c r="D283" s="88" t="s">
        <v>1186</v>
      </c>
      <c r="E283" s="88"/>
      <c r="F283" s="88"/>
      <c r="G283" s="88"/>
      <c r="H283" s="88" t="s">
        <v>1274</v>
      </c>
      <c r="I283" s="88"/>
      <c r="J283" s="105" t="s">
        <v>49</v>
      </c>
      <c r="K283" s="101" t="s">
        <v>160</v>
      </c>
      <c r="L283" s="101"/>
      <c r="M283" s="88"/>
      <c r="N283" s="88"/>
      <c r="O283" s="440" t="s">
        <v>1290</v>
      </c>
      <c r="P283" s="834">
        <v>788891577</v>
      </c>
      <c r="Q283" s="831" t="s">
        <v>1277</v>
      </c>
      <c r="R283" s="826" t="s">
        <v>967</v>
      </c>
      <c r="S283" s="828" t="s">
        <v>611</v>
      </c>
      <c r="T283" s="889"/>
    </row>
    <row r="284" spans="2:20" s="40" customFormat="1" ht="15.75" customHeight="1" x14ac:dyDescent="0.2">
      <c r="B284" s="855"/>
      <c r="C284" s="481"/>
      <c r="D284" s="13" t="s">
        <v>1187</v>
      </c>
      <c r="E284" s="13"/>
      <c r="F284" s="13"/>
      <c r="G284" s="13"/>
      <c r="H284" s="13" t="s">
        <v>1274</v>
      </c>
      <c r="I284" s="13"/>
      <c r="J284" s="64" t="s">
        <v>49</v>
      </c>
      <c r="K284" s="26" t="s">
        <v>160</v>
      </c>
      <c r="L284" s="26"/>
      <c r="M284" s="13"/>
      <c r="N284" s="13"/>
      <c r="O284" s="99" t="s">
        <v>1291</v>
      </c>
      <c r="P284" s="737"/>
      <c r="Q284" s="832"/>
      <c r="R284" s="753"/>
      <c r="S284" s="829"/>
      <c r="T284" s="890"/>
    </row>
    <row r="285" spans="2:20" s="40" customFormat="1" ht="15.75" customHeight="1" x14ac:dyDescent="0.2">
      <c r="B285" s="855"/>
      <c r="C285" s="481"/>
      <c r="D285" s="13"/>
      <c r="E285" s="13"/>
      <c r="F285" s="13"/>
      <c r="G285" s="13"/>
      <c r="H285" s="13"/>
      <c r="I285" s="13"/>
      <c r="J285" s="26" t="s">
        <v>1469</v>
      </c>
      <c r="K285" s="26"/>
      <c r="L285" s="26"/>
      <c r="M285" s="13"/>
      <c r="N285" s="13"/>
      <c r="O285" s="99"/>
      <c r="P285" s="737"/>
      <c r="Q285" s="832"/>
      <c r="R285" s="753"/>
      <c r="S285" s="829"/>
      <c r="T285" s="890"/>
    </row>
    <row r="286" spans="2:20" s="40" customFormat="1" ht="16" customHeight="1" thickBot="1" x14ac:dyDescent="0.25">
      <c r="B286" s="855"/>
      <c r="C286" s="482"/>
      <c r="D286" s="96"/>
      <c r="E286" s="96"/>
      <c r="F286" s="96"/>
      <c r="G286" s="96"/>
      <c r="H286" s="96"/>
      <c r="I286" s="96"/>
      <c r="J286" s="370" t="s">
        <v>1468</v>
      </c>
      <c r="K286" s="107"/>
      <c r="L286" s="107"/>
      <c r="M286" s="96"/>
      <c r="N286" s="96"/>
      <c r="O286" s="491"/>
      <c r="P286" s="835"/>
      <c r="Q286" s="833"/>
      <c r="R286" s="827"/>
      <c r="S286" s="830"/>
      <c r="T286" s="891"/>
    </row>
    <row r="287" spans="2:20" s="40" customFormat="1" ht="16.25" customHeight="1" thickBot="1" x14ac:dyDescent="0.25">
      <c r="B287" s="855"/>
      <c r="D287" s="21"/>
      <c r="E287" s="21"/>
      <c r="F287" s="21"/>
      <c r="G287" s="21"/>
      <c r="H287" s="21"/>
      <c r="I287" s="21"/>
      <c r="J287" s="136"/>
      <c r="K287" s="136"/>
      <c r="L287" s="136"/>
      <c r="M287" s="21"/>
      <c r="N287" s="21"/>
      <c r="O287" s="178"/>
      <c r="P287" s="124"/>
      <c r="Q287" s="20"/>
      <c r="R287" s="20"/>
      <c r="S287" s="21"/>
      <c r="T287" s="21"/>
    </row>
    <row r="288" spans="2:20" s="40" customFormat="1" ht="16.25" customHeight="1" x14ac:dyDescent="0.2">
      <c r="B288" s="855"/>
      <c r="C288" s="490"/>
      <c r="D288" s="88" t="s">
        <v>1188</v>
      </c>
      <c r="E288" s="88"/>
      <c r="F288" s="88"/>
      <c r="G288" s="88"/>
      <c r="H288" s="88" t="s">
        <v>1275</v>
      </c>
      <c r="I288" s="88"/>
      <c r="J288" s="105" t="s">
        <v>160</v>
      </c>
      <c r="K288" s="101" t="s">
        <v>452</v>
      </c>
      <c r="L288" s="101"/>
      <c r="M288" s="88"/>
      <c r="N288" s="88"/>
      <c r="O288" s="440" t="s">
        <v>1289</v>
      </c>
      <c r="P288" s="834">
        <v>788891557</v>
      </c>
      <c r="Q288" s="831" t="s">
        <v>1177</v>
      </c>
      <c r="R288" s="826" t="s">
        <v>454</v>
      </c>
      <c r="S288" s="828" t="s">
        <v>611</v>
      </c>
      <c r="T288" s="889"/>
    </row>
    <row r="289" spans="2:23" s="40" customFormat="1" ht="15.75" customHeight="1" x14ac:dyDescent="0.2">
      <c r="B289" s="855"/>
      <c r="C289" s="481"/>
      <c r="D289" s="13"/>
      <c r="E289" s="13"/>
      <c r="F289" s="13"/>
      <c r="G289" s="13"/>
      <c r="H289" s="13"/>
      <c r="I289" s="13"/>
      <c r="J289" s="64"/>
      <c r="K289" s="26"/>
      <c r="L289" s="26"/>
      <c r="M289" s="13"/>
      <c r="N289" s="13"/>
      <c r="O289" s="99"/>
      <c r="P289" s="737"/>
      <c r="Q289" s="832"/>
      <c r="R289" s="753"/>
      <c r="S289" s="829"/>
      <c r="T289" s="890"/>
    </row>
    <row r="290" spans="2:23" s="40" customFormat="1" ht="15.75" customHeight="1" x14ac:dyDescent="0.2">
      <c r="B290" s="855"/>
      <c r="C290" s="481"/>
      <c r="D290" s="13" t="s">
        <v>1189</v>
      </c>
      <c r="E290" s="13"/>
      <c r="F290" s="13"/>
      <c r="G290" s="13"/>
      <c r="H290" s="13"/>
      <c r="I290" s="13"/>
      <c r="J290" s="26" t="s">
        <v>160</v>
      </c>
      <c r="K290" s="26" t="s">
        <v>452</v>
      </c>
      <c r="L290" s="26"/>
      <c r="M290" s="13"/>
      <c r="N290" s="13"/>
      <c r="O290" s="99" t="s">
        <v>1289</v>
      </c>
      <c r="P290" s="737">
        <v>788891573</v>
      </c>
      <c r="Q290" s="832"/>
      <c r="R290" s="753"/>
      <c r="S290" s="829"/>
      <c r="T290" s="890"/>
    </row>
    <row r="291" spans="2:23" s="40" customFormat="1" ht="16" customHeight="1" thickBot="1" x14ac:dyDescent="0.25">
      <c r="B291" s="855"/>
      <c r="C291" s="482"/>
      <c r="D291" s="96" t="s">
        <v>1190</v>
      </c>
      <c r="E291" s="96"/>
      <c r="F291" s="96"/>
      <c r="G291" s="96"/>
      <c r="H291" s="96" t="s">
        <v>1475</v>
      </c>
      <c r="I291" s="96" t="s">
        <v>1476</v>
      </c>
      <c r="J291" s="370" t="s">
        <v>1279</v>
      </c>
      <c r="K291" s="107" t="s">
        <v>452</v>
      </c>
      <c r="L291" s="107"/>
      <c r="M291" s="96"/>
      <c r="N291" s="96"/>
      <c r="O291" s="491" t="s">
        <v>1292</v>
      </c>
      <c r="P291" s="835"/>
      <c r="Q291" s="833"/>
      <c r="R291" s="827"/>
      <c r="S291" s="830"/>
      <c r="T291" s="891"/>
    </row>
    <row r="292" spans="2:23" s="40" customFormat="1" ht="16.25" customHeight="1" thickBot="1" x14ac:dyDescent="0.25">
      <c r="B292" s="855"/>
      <c r="D292" s="21"/>
      <c r="E292" s="21"/>
      <c r="F292" s="21"/>
      <c r="G292" s="21"/>
      <c r="H292" s="21"/>
      <c r="I292" s="21"/>
      <c r="J292" s="136"/>
      <c r="K292" s="136"/>
      <c r="L292" s="136"/>
      <c r="M292" s="21"/>
      <c r="N292" s="21"/>
      <c r="O292" s="178"/>
      <c r="P292" s="124"/>
      <c r="Q292" s="20"/>
      <c r="R292" s="20"/>
      <c r="S292" s="21"/>
      <c r="T292" s="21"/>
    </row>
    <row r="293" spans="2:23" s="40" customFormat="1" ht="16.25" customHeight="1" x14ac:dyDescent="0.2">
      <c r="B293" s="855"/>
      <c r="C293" s="490"/>
      <c r="D293" s="88" t="s">
        <v>1191</v>
      </c>
      <c r="E293" s="88"/>
      <c r="F293" s="88"/>
      <c r="G293" s="88"/>
      <c r="H293" s="88"/>
      <c r="I293" s="88"/>
      <c r="J293" s="105" t="s">
        <v>49</v>
      </c>
      <c r="K293" s="101" t="s">
        <v>452</v>
      </c>
      <c r="L293" s="101"/>
      <c r="M293" s="88"/>
      <c r="N293" s="88"/>
      <c r="O293" s="440" t="s">
        <v>1281</v>
      </c>
      <c r="P293" s="834">
        <v>788891567</v>
      </c>
      <c r="Q293" s="831" t="s">
        <v>1178</v>
      </c>
      <c r="R293" s="826" t="s">
        <v>454</v>
      </c>
      <c r="S293" s="828" t="s">
        <v>610</v>
      </c>
      <c r="T293" s="889"/>
    </row>
    <row r="294" spans="2:23" s="40" customFormat="1" ht="15.75" customHeight="1" x14ac:dyDescent="0.2">
      <c r="B294" s="855"/>
      <c r="C294" s="481"/>
      <c r="D294" s="13" t="s">
        <v>1192</v>
      </c>
      <c r="E294" s="13"/>
      <c r="F294" s="13"/>
      <c r="G294" s="13"/>
      <c r="H294" s="13"/>
      <c r="I294" s="13"/>
      <c r="J294" s="64" t="s">
        <v>160</v>
      </c>
      <c r="K294" s="26" t="s">
        <v>452</v>
      </c>
      <c r="L294" s="26"/>
      <c r="M294" s="13"/>
      <c r="N294" s="13"/>
      <c r="O294" s="99" t="s">
        <v>1292</v>
      </c>
      <c r="P294" s="737"/>
      <c r="Q294" s="832"/>
      <c r="R294" s="753"/>
      <c r="S294" s="829"/>
      <c r="T294" s="890"/>
    </row>
    <row r="295" spans="2:23" s="40" customFormat="1" x14ac:dyDescent="0.2">
      <c r="B295" s="855"/>
      <c r="C295" s="481" t="s">
        <v>1298</v>
      </c>
      <c r="D295" s="13" t="s">
        <v>1193</v>
      </c>
      <c r="E295" s="13"/>
      <c r="F295" s="13"/>
      <c r="G295" s="13"/>
      <c r="H295" s="13" t="s">
        <v>1273</v>
      </c>
      <c r="I295" s="13" t="s">
        <v>1474</v>
      </c>
      <c r="J295" s="26" t="s">
        <v>160</v>
      </c>
      <c r="K295" s="26" t="s">
        <v>667</v>
      </c>
      <c r="L295" s="26"/>
      <c r="M295" s="13"/>
      <c r="N295" s="13"/>
      <c r="O295" s="99" t="s">
        <v>1289</v>
      </c>
      <c r="P295" s="737">
        <v>788891586</v>
      </c>
      <c r="Q295" s="832"/>
      <c r="R295" s="753"/>
      <c r="S295" s="829"/>
      <c r="T295" s="890"/>
    </row>
    <row r="296" spans="2:23" s="40" customFormat="1" ht="17" thickBot="1" x14ac:dyDescent="0.25">
      <c r="B296" s="855"/>
      <c r="C296" s="482"/>
      <c r="D296" s="96"/>
      <c r="E296" s="96"/>
      <c r="F296" s="96"/>
      <c r="G296" s="96"/>
      <c r="H296" s="96"/>
      <c r="I296" s="96"/>
      <c r="J296" s="370"/>
      <c r="K296" s="107"/>
      <c r="L296" s="107"/>
      <c r="M296" s="96"/>
      <c r="N296" s="96"/>
      <c r="O296" s="491" t="s">
        <v>1295</v>
      </c>
      <c r="P296" s="835"/>
      <c r="Q296" s="833"/>
      <c r="R296" s="827"/>
      <c r="S296" s="830"/>
      <c r="T296" s="891"/>
    </row>
    <row r="297" spans="2:23" s="44" customFormat="1" x14ac:dyDescent="0.2">
      <c r="C297" s="40"/>
      <c r="D297" s="21"/>
      <c r="E297" s="21"/>
      <c r="F297" s="21"/>
      <c r="G297" s="21"/>
      <c r="H297" s="21"/>
      <c r="I297" s="21"/>
      <c r="J297" s="136"/>
      <c r="K297" s="136"/>
      <c r="L297" s="136"/>
      <c r="M297" s="21"/>
      <c r="N297" s="21"/>
      <c r="O297" s="178"/>
      <c r="P297" s="179"/>
      <c r="Q297" s="20"/>
      <c r="R297" s="20"/>
      <c r="S297" s="21"/>
      <c r="T297" s="21"/>
      <c r="U297" s="40"/>
      <c r="V297" s="40"/>
      <c r="W297" s="40"/>
    </row>
    <row r="298" spans="2:23" s="44" customFormat="1" ht="15.5" customHeight="1" x14ac:dyDescent="0.2">
      <c r="B298" s="176"/>
      <c r="C298" s="47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4" t="s">
        <v>492</v>
      </c>
      <c r="P298" s="40"/>
      <c r="Q298" s="40"/>
      <c r="R298" s="40"/>
      <c r="S298" s="40"/>
      <c r="T298" s="40"/>
      <c r="U298" s="40"/>
      <c r="V298" s="40"/>
      <c r="W298" s="40" t="s">
        <v>495</v>
      </c>
    </row>
    <row r="299" spans="2:23" s="44" customFormat="1" ht="24" x14ac:dyDescent="0.3">
      <c r="C299" s="330" t="s">
        <v>470</v>
      </c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3"/>
      <c r="P299" s="112"/>
      <c r="Q299" s="112"/>
      <c r="R299" s="112"/>
      <c r="S299" s="112"/>
      <c r="T299" s="112"/>
      <c r="U299" s="40"/>
      <c r="V299" s="40"/>
      <c r="W299" s="40" t="s">
        <v>496</v>
      </c>
    </row>
    <row r="300" spans="2:23" s="44" customFormat="1" ht="17" thickBot="1" x14ac:dyDescent="0.25">
      <c r="C300" s="111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3"/>
      <c r="P300" s="112"/>
      <c r="Q300" s="112"/>
      <c r="R300" s="112"/>
      <c r="S300" s="112"/>
      <c r="T300" s="112"/>
      <c r="U300" s="40"/>
      <c r="V300" s="40"/>
      <c r="W300" s="40"/>
    </row>
    <row r="301" spans="2:23" s="44" customFormat="1" ht="34" x14ac:dyDescent="0.2">
      <c r="C301" s="155"/>
      <c r="D301" s="127" t="s">
        <v>472</v>
      </c>
      <c r="E301" s="127"/>
      <c r="F301" s="127"/>
      <c r="G301" s="154" t="s">
        <v>609</v>
      </c>
      <c r="H301" s="156" t="s">
        <v>476</v>
      </c>
      <c r="I301" s="154"/>
      <c r="J301" s="127"/>
      <c r="K301" s="127" t="s">
        <v>160</v>
      </c>
      <c r="L301" s="127"/>
      <c r="M301" s="127"/>
      <c r="N301" s="127"/>
      <c r="O301" s="344" t="s">
        <v>489</v>
      </c>
      <c r="P301" s="857" t="s">
        <v>488</v>
      </c>
      <c r="Q301" s="787" t="s">
        <v>487</v>
      </c>
      <c r="R301" s="806" t="s">
        <v>114</v>
      </c>
      <c r="S301" s="127"/>
      <c r="T301" s="156"/>
      <c r="U301" s="885" t="s">
        <v>481</v>
      </c>
      <c r="V301" s="882" t="s">
        <v>493</v>
      </c>
      <c r="W301" s="341" t="s">
        <v>494</v>
      </c>
    </row>
    <row r="302" spans="2:23" s="44" customFormat="1" ht="17" x14ac:dyDescent="0.2">
      <c r="C302" s="157"/>
      <c r="D302" s="42" t="s">
        <v>473</v>
      </c>
      <c r="E302" s="42"/>
      <c r="F302" s="42"/>
      <c r="G302" s="42"/>
      <c r="H302" s="158" t="s">
        <v>477</v>
      </c>
      <c r="I302" s="42"/>
      <c r="J302" s="42"/>
      <c r="K302" s="42" t="s">
        <v>160</v>
      </c>
      <c r="L302" s="42"/>
      <c r="M302" s="42"/>
      <c r="N302" s="42"/>
      <c r="O302" s="38" t="s">
        <v>699</v>
      </c>
      <c r="P302" s="858"/>
      <c r="Q302" s="769"/>
      <c r="R302" s="807"/>
      <c r="S302" s="42"/>
      <c r="T302" s="158"/>
      <c r="U302" s="886"/>
      <c r="V302" s="883"/>
      <c r="W302" s="342"/>
    </row>
    <row r="303" spans="2:23" s="44" customFormat="1" ht="15.5" customHeight="1" x14ac:dyDescent="0.2">
      <c r="B303" s="176"/>
      <c r="C303" s="157"/>
      <c r="D303" s="42" t="s">
        <v>474</v>
      </c>
      <c r="E303" s="42"/>
      <c r="F303" s="42"/>
      <c r="G303" s="42"/>
      <c r="H303" s="158" t="s">
        <v>478</v>
      </c>
      <c r="I303" s="42"/>
      <c r="J303" s="42"/>
      <c r="K303" s="42" t="s">
        <v>160</v>
      </c>
      <c r="L303" s="42"/>
      <c r="M303" s="42"/>
      <c r="N303" s="42"/>
      <c r="O303" s="38" t="s">
        <v>700</v>
      </c>
      <c r="P303" s="858"/>
      <c r="Q303" s="769"/>
      <c r="R303" s="807"/>
      <c r="S303" s="42"/>
      <c r="T303" s="158"/>
      <c r="U303" s="886"/>
      <c r="V303" s="883"/>
      <c r="W303" s="342"/>
    </row>
    <row r="304" spans="2:23" s="44" customFormat="1" ht="18" thickBot="1" x14ac:dyDescent="0.25">
      <c r="C304" s="159"/>
      <c r="D304" s="128" t="s">
        <v>475</v>
      </c>
      <c r="E304" s="128"/>
      <c r="F304" s="128"/>
      <c r="G304" s="128"/>
      <c r="H304" s="160" t="s">
        <v>479</v>
      </c>
      <c r="I304" s="128"/>
      <c r="J304" s="128"/>
      <c r="K304" s="128" t="s">
        <v>160</v>
      </c>
      <c r="L304" s="128"/>
      <c r="M304" s="128"/>
      <c r="N304" s="128"/>
      <c r="O304" s="345" t="s">
        <v>701</v>
      </c>
      <c r="P304" s="859"/>
      <c r="Q304" s="788"/>
      <c r="R304" s="808"/>
      <c r="S304" s="128"/>
      <c r="T304" s="160"/>
      <c r="U304" s="887"/>
      <c r="V304" s="884"/>
      <c r="W304" s="343"/>
    </row>
    <row r="305" spans="2:23" s="44" customFormat="1" ht="17" thickBot="1" x14ac:dyDescent="0.25">
      <c r="R305" s="176"/>
    </row>
    <row r="306" spans="2:23" s="44" customFormat="1" ht="17" x14ac:dyDescent="0.2">
      <c r="C306" s="155"/>
      <c r="D306" s="127" t="s">
        <v>527</v>
      </c>
      <c r="E306" s="127"/>
      <c r="F306" s="127"/>
      <c r="G306" s="127"/>
      <c r="H306" s="127"/>
      <c r="I306" s="127"/>
      <c r="J306" s="127"/>
      <c r="K306" s="127" t="s">
        <v>160</v>
      </c>
      <c r="L306" s="127"/>
      <c r="M306" s="127"/>
      <c r="N306" s="127"/>
      <c r="O306" s="344" t="s">
        <v>698</v>
      </c>
      <c r="P306" s="818">
        <v>542082683</v>
      </c>
      <c r="Q306" s="787" t="s">
        <v>539</v>
      </c>
      <c r="R306" s="806" t="s">
        <v>114</v>
      </c>
      <c r="S306" s="127"/>
      <c r="T306" s="127"/>
      <c r="U306" s="127"/>
      <c r="V306" s="127"/>
      <c r="W306" s="161"/>
    </row>
    <row r="307" spans="2:23" s="44" customFormat="1" ht="17" x14ac:dyDescent="0.2">
      <c r="C307" s="157"/>
      <c r="D307" s="42" t="s">
        <v>528</v>
      </c>
      <c r="E307" s="42"/>
      <c r="F307" s="42"/>
      <c r="G307" s="42"/>
      <c r="H307" s="42"/>
      <c r="I307" s="42"/>
      <c r="J307" s="42"/>
      <c r="K307" s="42" t="s">
        <v>160</v>
      </c>
      <c r="L307" s="42"/>
      <c r="M307" s="42"/>
      <c r="N307" s="42"/>
      <c r="O307" s="38" t="s">
        <v>699</v>
      </c>
      <c r="P307" s="813"/>
      <c r="Q307" s="769"/>
      <c r="R307" s="807"/>
      <c r="S307" s="42"/>
      <c r="T307" s="42"/>
      <c r="U307" s="42"/>
      <c r="V307" s="42"/>
      <c r="W307" s="162"/>
    </row>
    <row r="308" spans="2:23" s="44" customFormat="1" ht="15.5" customHeight="1" x14ac:dyDescent="0.2">
      <c r="B308" s="176" t="s">
        <v>714</v>
      </c>
      <c r="C308" s="157"/>
      <c r="D308" s="42" t="s">
        <v>529</v>
      </c>
      <c r="E308" s="42"/>
      <c r="F308" s="42"/>
      <c r="G308" s="42"/>
      <c r="H308" s="42"/>
      <c r="I308" s="42"/>
      <c r="J308" s="42"/>
      <c r="K308" s="42" t="s">
        <v>160</v>
      </c>
      <c r="L308" s="42"/>
      <c r="M308" s="42"/>
      <c r="N308" s="42"/>
      <c r="O308" s="38" t="s">
        <v>700</v>
      </c>
      <c r="P308" s="813"/>
      <c r="Q308" s="769"/>
      <c r="R308" s="807"/>
      <c r="S308" s="42"/>
      <c r="T308" s="42"/>
      <c r="U308" s="42"/>
      <c r="V308" s="42"/>
      <c r="W308" s="162"/>
    </row>
    <row r="309" spans="2:23" s="44" customFormat="1" ht="18" thickBot="1" x14ac:dyDescent="0.25">
      <c r="C309" s="159"/>
      <c r="D309" s="128" t="s">
        <v>530</v>
      </c>
      <c r="E309" s="128"/>
      <c r="F309" s="128"/>
      <c r="G309" s="128"/>
      <c r="H309" s="128"/>
      <c r="I309" s="128"/>
      <c r="J309" s="128"/>
      <c r="K309" s="128" t="s">
        <v>160</v>
      </c>
      <c r="L309" s="128"/>
      <c r="M309" s="128"/>
      <c r="N309" s="128"/>
      <c r="O309" s="345" t="s">
        <v>701</v>
      </c>
      <c r="P309" s="819"/>
      <c r="Q309" s="788"/>
      <c r="R309" s="808"/>
      <c r="S309" s="128"/>
      <c r="T309" s="128"/>
      <c r="U309" s="128"/>
      <c r="V309" s="128"/>
      <c r="W309" s="163"/>
    </row>
    <row r="310" spans="2:23" s="44" customFormat="1" ht="17" thickBot="1" x14ac:dyDescent="0.25">
      <c r="R310" s="176"/>
    </row>
    <row r="311" spans="2:23" s="44" customFormat="1" ht="17" x14ac:dyDescent="0.2">
      <c r="C311" s="155"/>
      <c r="D311" s="127" t="s">
        <v>531</v>
      </c>
      <c r="E311" s="127"/>
      <c r="F311" s="127"/>
      <c r="G311" s="127"/>
      <c r="H311" s="127"/>
      <c r="I311" s="127"/>
      <c r="J311" s="127"/>
      <c r="K311" s="127" t="s">
        <v>160</v>
      </c>
      <c r="L311" s="127"/>
      <c r="M311" s="127"/>
      <c r="N311" s="127"/>
      <c r="O311" s="344" t="s">
        <v>701</v>
      </c>
      <c r="P311" s="818">
        <v>542082679</v>
      </c>
      <c r="Q311" s="787" t="s">
        <v>540</v>
      </c>
      <c r="R311" s="806" t="s">
        <v>114</v>
      </c>
      <c r="S311" s="127"/>
      <c r="T311" s="127"/>
      <c r="U311" s="127"/>
      <c r="V311" s="127"/>
      <c r="W311" s="161"/>
    </row>
    <row r="312" spans="2:23" s="44" customFormat="1" ht="17" x14ac:dyDescent="0.2">
      <c r="C312" s="157"/>
      <c r="D312" s="42" t="s">
        <v>532</v>
      </c>
      <c r="E312" s="42"/>
      <c r="F312" s="42"/>
      <c r="G312" s="42"/>
      <c r="H312" s="42"/>
      <c r="I312" s="42"/>
      <c r="J312" s="42"/>
      <c r="K312" s="42" t="s">
        <v>160</v>
      </c>
      <c r="L312" s="42"/>
      <c r="M312" s="42"/>
      <c r="N312" s="42"/>
      <c r="O312" s="38" t="s">
        <v>700</v>
      </c>
      <c r="P312" s="813"/>
      <c r="Q312" s="769"/>
      <c r="R312" s="807"/>
      <c r="S312" s="42"/>
      <c r="T312" s="42"/>
      <c r="U312" s="42"/>
      <c r="V312" s="42"/>
      <c r="W312" s="162"/>
    </row>
    <row r="313" spans="2:23" s="44" customFormat="1" ht="17" x14ac:dyDescent="0.2">
      <c r="C313" s="157"/>
      <c r="D313" s="42" t="s">
        <v>533</v>
      </c>
      <c r="E313" s="42"/>
      <c r="F313" s="42"/>
      <c r="G313" s="42"/>
      <c r="H313" s="42"/>
      <c r="I313" s="42"/>
      <c r="J313" s="42"/>
      <c r="K313" s="42" t="s">
        <v>160</v>
      </c>
      <c r="L313" s="42"/>
      <c r="M313" s="42"/>
      <c r="N313" s="42"/>
      <c r="O313" s="38" t="s">
        <v>699</v>
      </c>
      <c r="P313" s="813"/>
      <c r="Q313" s="769"/>
      <c r="R313" s="807"/>
      <c r="S313" s="42"/>
      <c r="T313" s="42"/>
      <c r="U313" s="42"/>
      <c r="V313" s="42"/>
      <c r="W313" s="162"/>
    </row>
    <row r="314" spans="2:23" s="44" customFormat="1" ht="18" thickBot="1" x14ac:dyDescent="0.25">
      <c r="C314" s="159"/>
      <c r="D314" s="128" t="s">
        <v>534</v>
      </c>
      <c r="E314" s="128"/>
      <c r="F314" s="128"/>
      <c r="G314" s="128"/>
      <c r="H314" s="128"/>
      <c r="I314" s="128"/>
      <c r="J314" s="128"/>
      <c r="K314" s="214" t="s">
        <v>49</v>
      </c>
      <c r="L314" s="214"/>
      <c r="M314" s="128"/>
      <c r="N314" s="128"/>
      <c r="O314" s="345" t="s">
        <v>702</v>
      </c>
      <c r="P314" s="819"/>
      <c r="Q314" s="788"/>
      <c r="R314" s="808"/>
      <c r="S314" s="128"/>
      <c r="T314" s="128"/>
      <c r="U314" s="128"/>
      <c r="V314" s="128"/>
      <c r="W314" s="163"/>
    </row>
    <row r="315" spans="2:23" s="44" customFormat="1" ht="17" thickBot="1" x14ac:dyDescent="0.25">
      <c r="R315" s="176"/>
    </row>
    <row r="316" spans="2:23" s="44" customFormat="1" ht="17" x14ac:dyDescent="0.2">
      <c r="C316" s="155"/>
      <c r="D316" s="127" t="s">
        <v>535</v>
      </c>
      <c r="E316" s="127"/>
      <c r="F316" s="127"/>
      <c r="G316" s="127"/>
      <c r="H316" s="127"/>
      <c r="I316" s="127"/>
      <c r="J316" s="127" t="s">
        <v>160</v>
      </c>
      <c r="K316" s="101" t="s">
        <v>452</v>
      </c>
      <c r="L316" s="101"/>
      <c r="M316" s="127"/>
      <c r="N316" s="127"/>
      <c r="O316" s="344" t="s">
        <v>779</v>
      </c>
      <c r="P316" s="795">
        <v>542082370</v>
      </c>
      <c r="Q316" s="831" t="s">
        <v>1084</v>
      </c>
      <c r="R316" s="806" t="s">
        <v>114</v>
      </c>
      <c r="S316" s="127"/>
      <c r="T316" s="42"/>
      <c r="U316" s="42"/>
      <c r="V316" s="42"/>
      <c r="W316" s="161"/>
    </row>
    <row r="317" spans="2:23" s="44" customFormat="1" ht="17" x14ac:dyDescent="0.2">
      <c r="C317" s="157"/>
      <c r="D317" s="42" t="s">
        <v>536</v>
      </c>
      <c r="E317" s="42"/>
      <c r="F317" s="42"/>
      <c r="G317" s="42"/>
      <c r="H317" s="42"/>
      <c r="I317" s="42"/>
      <c r="J317" s="42" t="s">
        <v>160</v>
      </c>
      <c r="K317" s="129" t="s">
        <v>452</v>
      </c>
      <c r="L317" s="129"/>
      <c r="M317" s="42"/>
      <c r="N317" s="42"/>
      <c r="O317" s="38" t="s">
        <v>780</v>
      </c>
      <c r="P317" s="804"/>
      <c r="Q317" s="832"/>
      <c r="R317" s="807"/>
      <c r="S317" s="42"/>
      <c r="T317" s="42"/>
      <c r="U317" s="42"/>
      <c r="V317" s="42"/>
      <c r="W317" s="162"/>
    </row>
    <row r="318" spans="2:23" s="44" customFormat="1" ht="34" x14ac:dyDescent="0.2">
      <c r="C318" s="157"/>
      <c r="D318" s="42" t="s">
        <v>537</v>
      </c>
      <c r="E318" s="42"/>
      <c r="F318" s="42"/>
      <c r="G318" s="42"/>
      <c r="H318" s="42"/>
      <c r="I318" s="42"/>
      <c r="J318" s="42" t="s">
        <v>160</v>
      </c>
      <c r="K318" s="42" t="s">
        <v>160</v>
      </c>
      <c r="L318" s="42"/>
      <c r="M318" s="42"/>
      <c r="N318" s="42"/>
      <c r="O318" s="38" t="s">
        <v>781</v>
      </c>
      <c r="P318" s="804"/>
      <c r="Q318" s="832"/>
      <c r="R318" s="807"/>
      <c r="S318" s="42"/>
      <c r="T318" s="42"/>
      <c r="U318" s="42"/>
      <c r="V318" s="42"/>
      <c r="W318" s="162"/>
    </row>
    <row r="319" spans="2:23" s="44" customFormat="1" ht="17" thickBot="1" x14ac:dyDescent="0.25">
      <c r="C319" s="159"/>
      <c r="D319" s="128" t="s">
        <v>627</v>
      </c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345"/>
      <c r="P319" s="805"/>
      <c r="Q319" s="833"/>
      <c r="R319" s="808"/>
      <c r="S319" s="128"/>
      <c r="T319" s="128"/>
      <c r="U319" s="128"/>
      <c r="V319" s="128"/>
      <c r="W319" s="163"/>
    </row>
    <row r="320" spans="2:23" s="44" customFormat="1" ht="17" thickBot="1" x14ac:dyDescent="0.25">
      <c r="D320" s="174"/>
      <c r="E320" s="174"/>
      <c r="Q320" s="20"/>
    </row>
    <row r="321" spans="3:24" s="44" customFormat="1" x14ac:dyDescent="0.2">
      <c r="C321" s="155"/>
      <c r="D321" s="127" t="s">
        <v>1085</v>
      </c>
      <c r="E321" s="127"/>
      <c r="F321" s="127"/>
      <c r="G321" s="127"/>
      <c r="H321" s="127"/>
      <c r="I321" s="127"/>
      <c r="J321" s="127" t="s">
        <v>160</v>
      </c>
      <c r="K321" s="42" t="s">
        <v>160</v>
      </c>
      <c r="L321" s="185"/>
      <c r="M321" s="127"/>
      <c r="N321" s="127"/>
      <c r="O321" s="344"/>
      <c r="P321" s="795"/>
      <c r="Q321" s="831" t="s">
        <v>1083</v>
      </c>
      <c r="R321" s="888" t="s">
        <v>1090</v>
      </c>
      <c r="S321" s="127"/>
      <c r="T321" s="42"/>
      <c r="U321" s="42"/>
      <c r="V321" s="42"/>
      <c r="W321" s="161"/>
      <c r="X321" s="40"/>
    </row>
    <row r="322" spans="3:24" s="40" customFormat="1" ht="17" x14ac:dyDescent="0.2">
      <c r="C322" s="157" t="s">
        <v>1094</v>
      </c>
      <c r="D322" s="42" t="s">
        <v>1087</v>
      </c>
      <c r="E322" s="42"/>
      <c r="F322" s="42"/>
      <c r="G322" s="42"/>
      <c r="H322" s="42"/>
      <c r="I322" s="42"/>
      <c r="J322" s="42" t="s">
        <v>160</v>
      </c>
      <c r="K322" s="42" t="s">
        <v>160</v>
      </c>
      <c r="L322" s="5"/>
      <c r="M322" s="42"/>
      <c r="N322" s="42"/>
      <c r="O322" s="38" t="s">
        <v>1089</v>
      </c>
      <c r="P322" s="804"/>
      <c r="Q322" s="832"/>
      <c r="R322" s="807"/>
      <c r="S322" s="42"/>
      <c r="T322" s="42"/>
      <c r="U322" s="42"/>
      <c r="V322" s="42"/>
      <c r="W322" s="162"/>
      <c r="X322" s="44"/>
    </row>
    <row r="323" spans="3:24" s="44" customFormat="1" ht="17" x14ac:dyDescent="0.2">
      <c r="C323" s="157" t="s">
        <v>1096</v>
      </c>
      <c r="D323" s="42" t="s">
        <v>1086</v>
      </c>
      <c r="E323" s="42"/>
      <c r="F323" s="42"/>
      <c r="G323" s="42"/>
      <c r="H323" s="42"/>
      <c r="I323" s="42"/>
      <c r="J323" s="42" t="s">
        <v>160</v>
      </c>
      <c r="K323" s="42" t="s">
        <v>160</v>
      </c>
      <c r="L323" s="42"/>
      <c r="M323" s="42"/>
      <c r="N323" s="42"/>
      <c r="O323" s="38" t="s">
        <v>1088</v>
      </c>
      <c r="P323" s="804"/>
      <c r="Q323" s="832"/>
      <c r="R323" s="807"/>
      <c r="S323" s="42"/>
      <c r="T323" s="42"/>
      <c r="U323" s="42"/>
      <c r="V323" s="42"/>
      <c r="W323" s="162"/>
    </row>
    <row r="324" spans="3:24" s="44" customFormat="1" ht="17" thickBot="1" x14ac:dyDescent="0.25">
      <c r="C324" s="159"/>
      <c r="D324" s="128" t="s">
        <v>627</v>
      </c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345"/>
      <c r="P324" s="805"/>
      <c r="Q324" s="833"/>
      <c r="R324" s="808"/>
      <c r="S324" s="128"/>
      <c r="T324" s="128"/>
      <c r="U324" s="128"/>
      <c r="V324" s="128"/>
      <c r="W324" s="163"/>
    </row>
    <row r="325" spans="3:24" s="44" customFormat="1" ht="17" thickBot="1" x14ac:dyDescent="0.25">
      <c r="D325" s="174"/>
      <c r="E325" s="174"/>
      <c r="Q325" s="20"/>
    </row>
    <row r="326" spans="3:24" s="44" customFormat="1" x14ac:dyDescent="0.2">
      <c r="C326" s="155"/>
      <c r="D326" s="127" t="s">
        <v>1126</v>
      </c>
      <c r="E326" s="127"/>
      <c r="F326" s="127"/>
      <c r="G326" s="127"/>
      <c r="H326" s="127" t="s">
        <v>1133</v>
      </c>
      <c r="I326" s="127"/>
      <c r="J326" s="127" t="s">
        <v>160</v>
      </c>
      <c r="K326" s="127" t="s">
        <v>160</v>
      </c>
      <c r="L326" s="127"/>
      <c r="M326" s="127"/>
      <c r="N326" s="127"/>
      <c r="O326" s="127" t="s">
        <v>1130</v>
      </c>
      <c r="P326" s="880" t="s">
        <v>1129</v>
      </c>
      <c r="Q326" s="831" t="s">
        <v>1140</v>
      </c>
      <c r="R326" s="806" t="s">
        <v>114</v>
      </c>
      <c r="S326" s="127"/>
      <c r="T326" s="127"/>
      <c r="U326" s="127"/>
      <c r="V326" s="127"/>
      <c r="W326" s="161"/>
    </row>
    <row r="327" spans="3:24" s="44" customFormat="1" x14ac:dyDescent="0.2">
      <c r="C327" s="157"/>
      <c r="D327" s="42" t="s">
        <v>1127</v>
      </c>
      <c r="E327" s="42"/>
      <c r="F327" s="42"/>
      <c r="G327" s="42"/>
      <c r="H327" s="42"/>
      <c r="I327" s="42"/>
      <c r="J327" s="42" t="s">
        <v>160</v>
      </c>
      <c r="K327" s="42" t="s">
        <v>160</v>
      </c>
      <c r="L327" s="42"/>
      <c r="M327" s="42"/>
      <c r="N327" s="42"/>
      <c r="O327" s="42" t="s">
        <v>1131</v>
      </c>
      <c r="P327" s="804"/>
      <c r="Q327" s="881"/>
      <c r="R327" s="817"/>
      <c r="S327" s="42"/>
      <c r="T327" s="50"/>
      <c r="U327" s="42"/>
      <c r="V327" s="42"/>
      <c r="W327" s="42"/>
    </row>
    <row r="328" spans="3:24" s="44" customFormat="1" ht="17" x14ac:dyDescent="0.2">
      <c r="C328" s="157"/>
      <c r="D328" s="42" t="s">
        <v>1128</v>
      </c>
      <c r="E328" s="42"/>
      <c r="F328" s="42"/>
      <c r="G328" s="42"/>
      <c r="H328" s="42"/>
      <c r="I328" s="42"/>
      <c r="J328" s="42" t="s">
        <v>160</v>
      </c>
      <c r="K328" s="42" t="s">
        <v>160</v>
      </c>
      <c r="L328" s="42"/>
      <c r="M328" s="42"/>
      <c r="N328" s="42"/>
      <c r="O328" s="42" t="s">
        <v>1132</v>
      </c>
      <c r="P328" s="804"/>
      <c r="Q328" s="17" t="s">
        <v>447</v>
      </c>
      <c r="R328" s="165" t="s">
        <v>447</v>
      </c>
      <c r="S328" s="224"/>
      <c r="T328" s="364"/>
      <c r="U328" s="365"/>
      <c r="V328" s="366"/>
      <c r="W328" s="225"/>
    </row>
    <row r="329" spans="3:24" s="44" customFormat="1" ht="17" thickBot="1" x14ac:dyDescent="0.25">
      <c r="C329" s="159"/>
      <c r="D329" s="164" t="s">
        <v>538</v>
      </c>
      <c r="E329" s="164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805"/>
      <c r="Q329" s="123"/>
      <c r="R329" s="177"/>
      <c r="S329" s="128"/>
      <c r="T329" s="128"/>
      <c r="U329" s="128"/>
      <c r="V329" s="128"/>
      <c r="W329" s="163"/>
    </row>
    <row r="330" spans="3:24" s="44" customFormat="1" ht="17" thickBot="1" x14ac:dyDescent="0.25">
      <c r="D330" s="174"/>
      <c r="E330" s="174"/>
      <c r="Q330" s="20"/>
    </row>
    <row r="331" spans="3:24" s="44" customFormat="1" ht="17" thickBot="1" x14ac:dyDescent="0.25">
      <c r="C331" s="155"/>
      <c r="D331" s="127" t="s">
        <v>1136</v>
      </c>
      <c r="E331" s="127"/>
      <c r="F331" s="127"/>
      <c r="G331" s="127"/>
      <c r="H331" s="127"/>
      <c r="I331" s="127"/>
      <c r="J331" s="127" t="s">
        <v>1139</v>
      </c>
      <c r="K331" s="127"/>
      <c r="L331" s="127"/>
      <c r="M331" s="127"/>
      <c r="N331" s="127"/>
      <c r="O331" s="127"/>
      <c r="P331" s="795">
        <v>542082575</v>
      </c>
      <c r="Q331" s="831" t="s">
        <v>1135</v>
      </c>
      <c r="R331" s="806" t="s">
        <v>114</v>
      </c>
      <c r="S331" s="127"/>
      <c r="T331" s="127"/>
      <c r="U331" s="127"/>
      <c r="V331" s="127"/>
      <c r="W331" s="161"/>
    </row>
    <row r="332" spans="3:24" s="44" customFormat="1" ht="17" thickBot="1" x14ac:dyDescent="0.25">
      <c r="C332" s="157"/>
      <c r="D332" s="42" t="s">
        <v>1137</v>
      </c>
      <c r="E332" s="42"/>
      <c r="F332" s="42"/>
      <c r="G332" s="42"/>
      <c r="H332" s="42"/>
      <c r="I332" s="224"/>
      <c r="J332" s="127" t="s">
        <v>1139</v>
      </c>
      <c r="K332" s="42"/>
      <c r="L332" s="42"/>
      <c r="M332" s="42"/>
      <c r="N332" s="42"/>
      <c r="O332" s="42"/>
      <c r="P332" s="804"/>
      <c r="Q332" s="832"/>
      <c r="R332" s="807"/>
      <c r="S332" s="42"/>
      <c r="T332" s="42"/>
      <c r="U332" s="42"/>
      <c r="V332" s="42"/>
      <c r="W332" s="42"/>
    </row>
    <row r="333" spans="3:24" s="44" customFormat="1" x14ac:dyDescent="0.2">
      <c r="C333" s="157"/>
      <c r="D333" s="42" t="s">
        <v>1138</v>
      </c>
      <c r="E333" s="42"/>
      <c r="F333" s="42"/>
      <c r="G333" s="42"/>
      <c r="H333" s="42"/>
      <c r="I333" s="224"/>
      <c r="J333" s="127" t="s">
        <v>1139</v>
      </c>
      <c r="K333" s="42"/>
      <c r="L333" s="42"/>
      <c r="M333" s="42"/>
      <c r="N333" s="42"/>
      <c r="P333" s="804"/>
      <c r="Q333" s="832"/>
      <c r="R333" s="807"/>
      <c r="S333" s="224"/>
      <c r="T333" s="364"/>
      <c r="U333" s="365"/>
      <c r="V333" s="366"/>
      <c r="W333" s="225"/>
    </row>
    <row r="334" spans="3:24" s="44" customFormat="1" ht="17" thickBot="1" x14ac:dyDescent="0.25">
      <c r="C334" s="159"/>
      <c r="D334" s="164" t="s">
        <v>538</v>
      </c>
      <c r="E334" s="164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805"/>
      <c r="Q334" s="833"/>
      <c r="R334" s="808"/>
      <c r="S334" s="128"/>
      <c r="T334" s="128"/>
      <c r="U334" s="128"/>
      <c r="V334" s="128"/>
      <c r="W334" s="163"/>
    </row>
    <row r="335" spans="3:24" s="44" customFormat="1" ht="17" thickBot="1" x14ac:dyDescent="0.25">
      <c r="D335" s="174"/>
      <c r="E335" s="174"/>
      <c r="Q335" s="20"/>
      <c r="R335" s="176"/>
    </row>
    <row r="336" spans="3:24" s="44" customFormat="1" x14ac:dyDescent="0.2">
      <c r="C336" s="155"/>
      <c r="D336" s="127" t="s">
        <v>1151</v>
      </c>
      <c r="E336" s="127"/>
      <c r="F336" s="127"/>
      <c r="G336" s="127"/>
      <c r="H336" s="127"/>
      <c r="I336" s="127"/>
      <c r="J336" s="127" t="s">
        <v>160</v>
      </c>
      <c r="K336" s="127" t="s">
        <v>160</v>
      </c>
      <c r="L336" s="127"/>
      <c r="M336" s="127"/>
      <c r="N336" s="127"/>
      <c r="O336" s="127" t="s">
        <v>1131</v>
      </c>
      <c r="P336" s="795">
        <v>542082656</v>
      </c>
      <c r="Q336" s="831" t="s">
        <v>1149</v>
      </c>
      <c r="R336" s="806" t="s">
        <v>114</v>
      </c>
      <c r="S336" s="127"/>
      <c r="T336" s="127"/>
      <c r="U336" s="127"/>
      <c r="V336" s="127"/>
      <c r="W336" s="161"/>
    </row>
    <row r="337" spans="2:23" s="44" customFormat="1" x14ac:dyDescent="0.2">
      <c r="C337" s="157"/>
      <c r="D337" s="175"/>
      <c r="E337" s="175"/>
      <c r="F337" s="42"/>
      <c r="G337" s="42"/>
      <c r="H337" s="42"/>
      <c r="I337" s="42"/>
      <c r="J337" s="42"/>
      <c r="K337" s="5"/>
      <c r="L337" s="5"/>
      <c r="M337" s="42"/>
      <c r="N337" s="42"/>
      <c r="O337" s="42"/>
      <c r="P337" s="804"/>
      <c r="Q337" s="832"/>
      <c r="R337" s="807"/>
      <c r="S337" s="42"/>
      <c r="T337" s="42"/>
      <c r="U337" s="42"/>
      <c r="V337" s="42"/>
      <c r="W337" s="162"/>
    </row>
    <row r="338" spans="2:23" s="44" customFormat="1" x14ac:dyDescent="0.2">
      <c r="C338" s="157"/>
      <c r="D338" s="175"/>
      <c r="E338" s="175"/>
      <c r="F338" s="42"/>
      <c r="G338" s="42"/>
      <c r="H338" s="42"/>
      <c r="I338" s="42"/>
      <c r="J338" s="42"/>
      <c r="K338" s="5"/>
      <c r="L338" s="5"/>
      <c r="M338" s="42"/>
      <c r="N338" s="42"/>
      <c r="O338" s="42"/>
      <c r="P338" s="804"/>
      <c r="Q338" s="832"/>
      <c r="R338" s="807"/>
      <c r="S338" s="42"/>
      <c r="T338" s="42"/>
      <c r="U338" s="42"/>
      <c r="V338" s="42"/>
      <c r="W338" s="162"/>
    </row>
    <row r="339" spans="2:23" s="44" customFormat="1" ht="17" thickBot="1" x14ac:dyDescent="0.25">
      <c r="C339" s="159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805"/>
      <c r="Q339" s="833"/>
      <c r="R339" s="808"/>
      <c r="S339" s="128"/>
      <c r="T339" s="128"/>
      <c r="U339" s="128"/>
      <c r="V339" s="128"/>
      <c r="W339" s="163"/>
    </row>
    <row r="340" spans="2:23" s="44" customFormat="1" ht="17" thickBot="1" x14ac:dyDescent="0.25">
      <c r="D340" s="174"/>
      <c r="E340" s="174"/>
      <c r="Q340" s="20"/>
      <c r="R340" s="176"/>
    </row>
    <row r="341" spans="2:23" s="44" customFormat="1" ht="86" customHeight="1" thickBot="1" x14ac:dyDescent="0.25">
      <c r="B341" s="124"/>
      <c r="C341" s="155"/>
      <c r="D341" s="127" t="s">
        <v>1145</v>
      </c>
      <c r="E341" s="154" t="s">
        <v>2113</v>
      </c>
      <c r="F341" s="154" t="s">
        <v>2139</v>
      </c>
      <c r="G341" s="154"/>
      <c r="H341" s="127" t="s">
        <v>2135</v>
      </c>
      <c r="I341" s="127"/>
      <c r="J341" s="127" t="s">
        <v>160</v>
      </c>
      <c r="K341" s="154" t="s">
        <v>160</v>
      </c>
      <c r="L341" s="650" t="s">
        <v>2141</v>
      </c>
      <c r="M341" s="127"/>
      <c r="N341" s="127"/>
      <c r="O341" s="127" t="s">
        <v>1148</v>
      </c>
      <c r="P341" s="795">
        <v>542082578</v>
      </c>
      <c r="Q341" s="831" t="s">
        <v>1142</v>
      </c>
      <c r="R341" s="806" t="s">
        <v>114</v>
      </c>
      <c r="S341" s="127"/>
      <c r="T341" s="127"/>
      <c r="U341" s="127"/>
      <c r="V341" s="127"/>
      <c r="W341" s="161"/>
    </row>
    <row r="342" spans="2:23" s="44" customFormat="1" ht="17" thickBot="1" x14ac:dyDescent="0.25">
      <c r="C342" s="157"/>
      <c r="D342" s="175" t="s">
        <v>1146</v>
      </c>
      <c r="E342" s="175"/>
      <c r="F342" s="42"/>
      <c r="G342" s="42"/>
      <c r="H342" s="42"/>
      <c r="I342" s="42"/>
      <c r="J342" s="42" t="s">
        <v>160</v>
      </c>
      <c r="K342" s="129" t="s">
        <v>452</v>
      </c>
      <c r="L342" s="5"/>
      <c r="M342" s="42"/>
      <c r="N342" s="42"/>
      <c r="O342" s="42" t="s">
        <v>456</v>
      </c>
      <c r="P342" s="804"/>
      <c r="Q342" s="832"/>
      <c r="R342" s="807"/>
      <c r="S342" s="42"/>
      <c r="T342" s="42"/>
      <c r="U342" s="42"/>
      <c r="V342" s="42"/>
      <c r="W342" s="162"/>
    </row>
    <row r="343" spans="2:23" s="44" customFormat="1" ht="118" customHeight="1" thickBot="1" x14ac:dyDescent="0.25">
      <c r="B343" s="124"/>
      <c r="C343" s="157"/>
      <c r="D343" s="175" t="s">
        <v>1147</v>
      </c>
      <c r="E343" s="646" t="s">
        <v>2133</v>
      </c>
      <c r="F343" s="41" t="s">
        <v>2132</v>
      </c>
      <c r="G343" s="41"/>
      <c r="H343" s="127" t="s">
        <v>2135</v>
      </c>
      <c r="I343" s="42"/>
      <c r="J343" s="42" t="s">
        <v>160</v>
      </c>
      <c r="K343" s="651" t="s">
        <v>2091</v>
      </c>
      <c r="L343" s="650" t="s">
        <v>2120</v>
      </c>
      <c r="M343" s="42"/>
      <c r="N343" s="42"/>
      <c r="O343" s="42" t="s">
        <v>2096</v>
      </c>
      <c r="P343" s="804"/>
      <c r="Q343" s="832"/>
      <c r="R343" s="807"/>
      <c r="S343" s="42"/>
      <c r="T343" s="42"/>
      <c r="U343" s="42"/>
      <c r="V343" s="42"/>
      <c r="W343" s="162"/>
    </row>
    <row r="344" spans="2:23" s="44" customFormat="1" ht="80" customHeight="1" thickBot="1" x14ac:dyDescent="0.25">
      <c r="C344" s="159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805"/>
      <c r="Q344" s="833"/>
      <c r="R344" s="808"/>
      <c r="S344" s="128"/>
      <c r="T344" s="128"/>
      <c r="U344" s="128"/>
      <c r="V344" s="128"/>
      <c r="W344" s="163"/>
    </row>
    <row r="345" spans="2:23" s="44" customFormat="1" ht="17" thickBot="1" x14ac:dyDescent="0.25">
      <c r="D345" s="174"/>
      <c r="E345" s="174"/>
      <c r="Q345" s="20"/>
      <c r="R345" s="176"/>
    </row>
    <row r="346" spans="2:23" s="44" customFormat="1" ht="51" x14ac:dyDescent="0.2">
      <c r="B346" s="631" t="s">
        <v>2074</v>
      </c>
      <c r="C346" s="630" t="s">
        <v>2072</v>
      </c>
      <c r="D346" s="127" t="s">
        <v>625</v>
      </c>
      <c r="E346" s="127"/>
      <c r="F346" s="127"/>
      <c r="G346" s="127"/>
      <c r="H346" s="127"/>
      <c r="I346" s="127"/>
      <c r="J346" s="127" t="s">
        <v>160</v>
      </c>
      <c r="K346" s="127" t="s">
        <v>160</v>
      </c>
      <c r="L346" s="127"/>
      <c r="M346" s="127"/>
      <c r="N346" s="127"/>
      <c r="O346" s="127" t="s">
        <v>713</v>
      </c>
      <c r="P346" s="795">
        <v>542082371</v>
      </c>
      <c r="Q346" s="831" t="s">
        <v>624</v>
      </c>
      <c r="R346" s="806" t="s">
        <v>114</v>
      </c>
      <c r="S346" s="127"/>
      <c r="T346" s="127"/>
      <c r="U346" s="127"/>
      <c r="V346" s="127"/>
      <c r="W346" s="161"/>
    </row>
    <row r="347" spans="2:23" s="44" customFormat="1" x14ac:dyDescent="0.2">
      <c r="C347" s="157"/>
      <c r="D347" s="175" t="s">
        <v>626</v>
      </c>
      <c r="E347" s="175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804"/>
      <c r="Q347" s="832"/>
      <c r="R347" s="807"/>
      <c r="S347" s="42"/>
      <c r="T347" s="42"/>
      <c r="U347" s="42"/>
      <c r="V347" s="42"/>
      <c r="W347" s="162"/>
    </row>
    <row r="348" spans="2:23" s="44" customFormat="1" x14ac:dyDescent="0.2">
      <c r="C348" s="157"/>
      <c r="D348" s="175" t="s">
        <v>626</v>
      </c>
      <c r="E348" s="175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804"/>
      <c r="Q348" s="832"/>
      <c r="R348" s="807"/>
      <c r="S348" s="42"/>
      <c r="T348" s="42"/>
      <c r="U348" s="42"/>
      <c r="V348" s="42"/>
      <c r="W348" s="162"/>
    </row>
    <row r="349" spans="2:23" s="44" customFormat="1" ht="17" thickBot="1" x14ac:dyDescent="0.25">
      <c r="C349" s="159"/>
      <c r="D349" s="128" t="s">
        <v>627</v>
      </c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805"/>
      <c r="Q349" s="833"/>
      <c r="R349" s="808"/>
      <c r="S349" s="128"/>
      <c r="T349" s="128"/>
      <c r="U349" s="128"/>
      <c r="V349" s="128"/>
      <c r="W349" s="163"/>
    </row>
    <row r="350" spans="2:23" s="44" customFormat="1" ht="17" thickBot="1" x14ac:dyDescent="0.25">
      <c r="D350" s="174"/>
      <c r="E350" s="174"/>
      <c r="Q350" s="20"/>
    </row>
    <row r="351" spans="2:23" s="44" customFormat="1" ht="17" thickBot="1" x14ac:dyDescent="0.25">
      <c r="C351" s="42"/>
      <c r="D351" s="426" t="s">
        <v>2205</v>
      </c>
      <c r="E351" s="426"/>
      <c r="F351" s="127"/>
      <c r="G351" s="127"/>
      <c r="H351" s="127"/>
      <c r="I351" s="127"/>
      <c r="J351" s="127" t="s">
        <v>160</v>
      </c>
      <c r="K351" s="129" t="s">
        <v>452</v>
      </c>
      <c r="L351" s="127"/>
      <c r="M351" s="127"/>
      <c r="N351" s="127"/>
      <c r="O351" s="127" t="s">
        <v>2206</v>
      </c>
      <c r="P351" s="795">
        <v>542082176</v>
      </c>
      <c r="Q351" s="831" t="s">
        <v>1099</v>
      </c>
      <c r="R351" s="806" t="s">
        <v>114</v>
      </c>
      <c r="S351" s="127"/>
      <c r="T351" s="127"/>
      <c r="U351" s="127"/>
      <c r="V351" s="127"/>
      <c r="W351" s="161"/>
    </row>
    <row r="352" spans="2:23" s="44" customFormat="1" ht="17" x14ac:dyDescent="0.2">
      <c r="C352" s="157"/>
      <c r="D352" s="42" t="s">
        <v>2204</v>
      </c>
      <c r="E352" s="42"/>
      <c r="F352" s="42"/>
      <c r="G352" s="42"/>
      <c r="H352" s="42"/>
      <c r="I352" s="224"/>
      <c r="J352" s="347" t="s">
        <v>49</v>
      </c>
      <c r="K352" s="129" t="s">
        <v>452</v>
      </c>
      <c r="L352" s="42"/>
      <c r="M352" s="42"/>
      <c r="N352" s="42"/>
      <c r="O352" s="38" t="s">
        <v>442</v>
      </c>
      <c r="P352" s="804"/>
      <c r="Q352" s="832"/>
      <c r="R352" s="807"/>
      <c r="S352" s="42"/>
      <c r="T352" s="42"/>
      <c r="U352" s="42"/>
      <c r="V352" s="42"/>
      <c r="W352" s="162"/>
    </row>
    <row r="353" spans="2:23" s="44" customFormat="1" x14ac:dyDescent="0.2">
      <c r="C353" s="157"/>
      <c r="D353" s="42"/>
      <c r="E353" s="42"/>
      <c r="F353" s="42"/>
      <c r="G353" s="42"/>
      <c r="H353" s="42"/>
      <c r="I353" s="42"/>
      <c r="J353" s="42" t="s">
        <v>160</v>
      </c>
      <c r="K353" s="129" t="s">
        <v>452</v>
      </c>
      <c r="L353" s="42"/>
      <c r="M353" s="42"/>
      <c r="N353" s="42"/>
      <c r="O353" s="42"/>
      <c r="P353" s="804"/>
      <c r="Q353" s="832"/>
      <c r="R353" s="807"/>
      <c r="S353" s="42"/>
      <c r="T353" s="42"/>
      <c r="U353" s="42"/>
      <c r="V353" s="42"/>
      <c r="W353" s="162"/>
    </row>
    <row r="354" spans="2:23" s="44" customFormat="1" ht="17" thickBot="1" x14ac:dyDescent="0.25">
      <c r="C354" s="159"/>
      <c r="D354" s="128"/>
      <c r="E354" s="128"/>
      <c r="F354" s="128"/>
      <c r="G354" s="128"/>
      <c r="H354" s="128"/>
      <c r="I354" s="128"/>
      <c r="J354" s="128" t="s">
        <v>160</v>
      </c>
      <c r="K354" s="129" t="s">
        <v>452</v>
      </c>
      <c r="L354" s="128"/>
      <c r="M354" s="128"/>
      <c r="N354" s="128"/>
      <c r="O354" s="128"/>
      <c r="P354" s="805"/>
      <c r="Q354" s="833"/>
      <c r="R354" s="808"/>
      <c r="S354" s="128"/>
      <c r="T354" s="128"/>
      <c r="U354" s="128"/>
      <c r="V354" s="128"/>
      <c r="W354" s="163"/>
    </row>
    <row r="355" spans="2:23" s="44" customFormat="1" ht="17" thickBot="1" x14ac:dyDescent="0.25">
      <c r="D355" s="174"/>
      <c r="E355" s="174"/>
      <c r="Q355" s="20"/>
    </row>
    <row r="356" spans="2:23" s="44" customFormat="1" ht="17" thickBot="1" x14ac:dyDescent="0.25">
      <c r="C356" s="617" t="s">
        <v>2027</v>
      </c>
      <c r="D356" s="127" t="s">
        <v>1092</v>
      </c>
      <c r="E356" s="127"/>
      <c r="F356" s="127"/>
      <c r="G356" s="127"/>
      <c r="H356" s="127"/>
      <c r="I356" s="127"/>
      <c r="J356" s="347" t="s">
        <v>2009</v>
      </c>
      <c r="K356" s="127"/>
      <c r="L356" s="127"/>
      <c r="M356" s="127"/>
      <c r="N356" s="127" t="s">
        <v>1093</v>
      </c>
      <c r="O356" s="127" t="s">
        <v>2031</v>
      </c>
      <c r="P356" s="795">
        <v>542986826</v>
      </c>
      <c r="Q356" s="831" t="s">
        <v>2023</v>
      </c>
      <c r="R356" s="806" t="s">
        <v>114</v>
      </c>
      <c r="S356" s="127"/>
      <c r="T356" s="127"/>
      <c r="U356" s="127"/>
      <c r="V356" s="127"/>
      <c r="W356" s="161"/>
    </row>
    <row r="357" spans="2:23" s="44" customFormat="1" ht="18" thickBot="1" x14ac:dyDescent="0.25">
      <c r="C357" s="617" t="s">
        <v>2027</v>
      </c>
      <c r="D357" s="42" t="s">
        <v>1100</v>
      </c>
      <c r="E357" s="42"/>
      <c r="F357" s="42"/>
      <c r="G357" s="42"/>
      <c r="H357" s="42" t="s">
        <v>2029</v>
      </c>
      <c r="I357" s="42"/>
      <c r="J357" s="346" t="s">
        <v>2028</v>
      </c>
      <c r="K357" s="42"/>
      <c r="L357" s="42"/>
      <c r="M357" s="42"/>
      <c r="N357" s="42" t="s">
        <v>1103</v>
      </c>
      <c r="O357" s="38" t="s">
        <v>1102</v>
      </c>
      <c r="P357" s="804"/>
      <c r="Q357" s="832"/>
      <c r="R357" s="807"/>
      <c r="S357" s="42"/>
      <c r="T357" s="42"/>
      <c r="U357" s="42"/>
      <c r="V357" s="42"/>
      <c r="W357" s="162"/>
    </row>
    <row r="358" spans="2:23" s="44" customFormat="1" x14ac:dyDescent="0.2">
      <c r="C358" s="155" t="s">
        <v>2030</v>
      </c>
      <c r="D358" s="42" t="s">
        <v>1091</v>
      </c>
      <c r="E358" s="42"/>
      <c r="F358" s="42"/>
      <c r="G358" s="42"/>
      <c r="H358" s="42" t="s">
        <v>949</v>
      </c>
      <c r="I358" s="42"/>
      <c r="J358" s="346" t="s">
        <v>2008</v>
      </c>
      <c r="K358" s="42"/>
      <c r="L358" s="42"/>
      <c r="M358" s="42"/>
      <c r="N358" s="42" t="s">
        <v>1098</v>
      </c>
      <c r="O358" s="42" t="s">
        <v>1097</v>
      </c>
      <c r="P358" s="804"/>
      <c r="Q358" s="832"/>
      <c r="R358" s="807"/>
      <c r="S358" s="42"/>
      <c r="T358" s="42"/>
      <c r="U358" s="42"/>
      <c r="V358" s="42"/>
      <c r="W358" s="162"/>
    </row>
    <row r="359" spans="2:23" s="44" customFormat="1" ht="45" customHeight="1" thickBot="1" x14ac:dyDescent="0.25">
      <c r="B359" s="631" t="s">
        <v>2074</v>
      </c>
      <c r="C359" s="629" t="s">
        <v>2071</v>
      </c>
      <c r="D359" s="363" t="s">
        <v>1278</v>
      </c>
      <c r="E359" s="643"/>
      <c r="F359" s="42"/>
      <c r="G359" s="42"/>
      <c r="H359" s="128" t="s">
        <v>1125</v>
      </c>
      <c r="I359" s="128" t="s">
        <v>2024</v>
      </c>
      <c r="J359" s="363" t="s">
        <v>2026</v>
      </c>
      <c r="K359" s="651" t="s">
        <v>2134</v>
      </c>
      <c r="L359" s="128"/>
      <c r="M359" s="128"/>
      <c r="N359" s="128"/>
      <c r="O359" s="128" t="s">
        <v>2025</v>
      </c>
      <c r="P359" s="805"/>
      <c r="Q359" s="833"/>
      <c r="R359" s="808"/>
      <c r="S359" s="128"/>
      <c r="T359" s="128"/>
      <c r="U359" s="128"/>
      <c r="V359" s="128"/>
      <c r="W359" s="163"/>
    </row>
    <row r="360" spans="2:23" s="44" customFormat="1" ht="17" thickBot="1" x14ac:dyDescent="0.25">
      <c r="C360" s="47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P360" s="40"/>
      <c r="Q360" s="40"/>
      <c r="R360" s="40"/>
      <c r="S360" s="40"/>
      <c r="T360" s="40"/>
      <c r="U360" s="40"/>
      <c r="V360" s="40"/>
      <c r="W360" s="40"/>
    </row>
    <row r="361" spans="2:23" s="44" customFormat="1" ht="17" thickBot="1" x14ac:dyDescent="0.25">
      <c r="C361" s="360" t="s">
        <v>1122</v>
      </c>
      <c r="D361" s="127" t="s">
        <v>1110</v>
      </c>
      <c r="E361" s="127"/>
      <c r="F361" s="127"/>
      <c r="G361" s="127"/>
      <c r="H361" s="127" t="s">
        <v>1124</v>
      </c>
      <c r="I361" s="127"/>
      <c r="J361" s="127" t="s">
        <v>160</v>
      </c>
      <c r="K361" s="127" t="s">
        <v>1123</v>
      </c>
      <c r="L361" s="127"/>
      <c r="M361" s="127"/>
      <c r="N361" s="127"/>
      <c r="O361" s="127" t="s">
        <v>915</v>
      </c>
      <c r="P361" s="223"/>
      <c r="Q361" s="831" t="s">
        <v>1062</v>
      </c>
      <c r="R361" s="806" t="s">
        <v>114</v>
      </c>
      <c r="S361" s="127"/>
      <c r="T361" s="127"/>
      <c r="U361" s="127"/>
      <c r="V361" s="127"/>
      <c r="W361" s="161"/>
    </row>
    <row r="362" spans="2:23" s="44" customFormat="1" x14ac:dyDescent="0.2">
      <c r="C362" s="157"/>
      <c r="D362" s="42" t="s">
        <v>1111</v>
      </c>
      <c r="E362" s="42"/>
      <c r="F362" s="42"/>
      <c r="G362" s="42"/>
      <c r="H362" s="127" t="s">
        <v>1124</v>
      </c>
      <c r="I362" s="42"/>
      <c r="J362" s="42" t="s">
        <v>160</v>
      </c>
      <c r="K362" s="42" t="s">
        <v>1123</v>
      </c>
      <c r="L362" s="42"/>
      <c r="M362" s="42"/>
      <c r="N362" s="42" t="s">
        <v>1116</v>
      </c>
      <c r="O362" s="42" t="s">
        <v>1115</v>
      </c>
      <c r="P362" s="48"/>
      <c r="Q362" s="832"/>
      <c r="R362" s="817"/>
      <c r="S362" s="42"/>
      <c r="T362" s="42"/>
      <c r="U362" s="42"/>
      <c r="V362" s="42"/>
      <c r="W362" s="162"/>
    </row>
    <row r="363" spans="2:23" s="44" customFormat="1" x14ac:dyDescent="0.2">
      <c r="C363" s="157"/>
      <c r="D363" s="42" t="s">
        <v>1112</v>
      </c>
      <c r="E363" s="42"/>
      <c r="F363" s="42"/>
      <c r="G363" s="42"/>
      <c r="H363" s="42"/>
      <c r="I363" s="42"/>
      <c r="J363" s="42" t="s">
        <v>160</v>
      </c>
      <c r="K363" s="42" t="s">
        <v>160</v>
      </c>
      <c r="L363" s="42"/>
      <c r="M363" s="42"/>
      <c r="N363" s="42"/>
      <c r="O363" s="42" t="s">
        <v>915</v>
      </c>
      <c r="P363" s="42"/>
      <c r="Q363" s="832"/>
      <c r="R363" s="165" t="s">
        <v>447</v>
      </c>
      <c r="S363" s="42"/>
      <c r="T363" s="42"/>
      <c r="U363" s="42"/>
      <c r="V363" s="42"/>
      <c r="W363" s="162"/>
    </row>
    <row r="364" spans="2:23" s="44" customFormat="1" ht="17" thickBot="1" x14ac:dyDescent="0.25">
      <c r="C364" s="159"/>
      <c r="D364" s="164"/>
      <c r="E364" s="164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833"/>
      <c r="R364" s="177"/>
      <c r="S364" s="128"/>
      <c r="T364" s="128"/>
      <c r="U364" s="128"/>
      <c r="V364" s="128"/>
      <c r="W364" s="163"/>
    </row>
    <row r="365" spans="2:23" s="44" customFormat="1" ht="17" thickBot="1" x14ac:dyDescent="0.25">
      <c r="D365" s="174"/>
      <c r="E365" s="174"/>
      <c r="Q365" s="20"/>
    </row>
    <row r="366" spans="2:23" s="44" customFormat="1" x14ac:dyDescent="0.2">
      <c r="C366" s="155"/>
      <c r="D366" s="127" t="s">
        <v>1075</v>
      </c>
      <c r="E366" s="127"/>
      <c r="F366" s="127"/>
      <c r="G366" s="127"/>
      <c r="H366" s="127" t="s">
        <v>1079</v>
      </c>
      <c r="I366" s="127"/>
      <c r="J366" s="127" t="s">
        <v>160</v>
      </c>
      <c r="K366" s="129" t="s">
        <v>452</v>
      </c>
      <c r="L366" s="127"/>
      <c r="M366" s="127"/>
      <c r="N366" s="127"/>
      <c r="O366" s="127" t="s">
        <v>1078</v>
      </c>
      <c r="P366" s="795">
        <v>542082582</v>
      </c>
      <c r="Q366" s="831" t="s">
        <v>1074</v>
      </c>
      <c r="R366" s="806" t="s">
        <v>114</v>
      </c>
      <c r="S366" s="127"/>
      <c r="T366" s="127"/>
      <c r="U366" s="127"/>
      <c r="V366" s="127"/>
      <c r="W366" s="161"/>
    </row>
    <row r="367" spans="2:23" s="44" customFormat="1" ht="34" customHeight="1" x14ac:dyDescent="0.2">
      <c r="C367" s="41" t="s">
        <v>1095</v>
      </c>
      <c r="D367" s="42" t="s">
        <v>1077</v>
      </c>
      <c r="E367" s="42"/>
      <c r="F367" s="42"/>
      <c r="G367" s="42"/>
      <c r="I367" s="42"/>
      <c r="J367" s="42" t="s">
        <v>160</v>
      </c>
      <c r="K367" s="42"/>
      <c r="L367" s="42"/>
      <c r="M367" s="42"/>
      <c r="N367" s="42" t="s">
        <v>1082</v>
      </c>
      <c r="O367" s="42" t="s">
        <v>699</v>
      </c>
      <c r="P367" s="804"/>
      <c r="Q367" s="832"/>
      <c r="R367" s="807"/>
      <c r="S367" s="42"/>
      <c r="T367" s="42"/>
      <c r="U367" s="42"/>
      <c r="V367" s="42"/>
      <c r="W367" s="162"/>
    </row>
    <row r="368" spans="2:23" s="44" customFormat="1" ht="90" customHeight="1" thickBot="1" x14ac:dyDescent="0.25">
      <c r="B368" s="652"/>
      <c r="C368" s="41" t="s">
        <v>2098</v>
      </c>
      <c r="D368" s="42" t="s">
        <v>590</v>
      </c>
      <c r="E368" s="646" t="s">
        <v>2140</v>
      </c>
      <c r="F368" s="41" t="s">
        <v>2127</v>
      </c>
      <c r="G368" s="656" t="s">
        <v>2092</v>
      </c>
      <c r="H368" s="42" t="s">
        <v>2010</v>
      </c>
      <c r="I368" s="42"/>
      <c r="J368" s="42" t="s">
        <v>160</v>
      </c>
      <c r="K368" s="651" t="s">
        <v>2091</v>
      </c>
      <c r="L368" s="650" t="s">
        <v>2151</v>
      </c>
      <c r="M368" s="42"/>
      <c r="N368" s="42" t="s">
        <v>2097</v>
      </c>
      <c r="O368" s="42" t="s">
        <v>2125</v>
      </c>
      <c r="P368" s="804"/>
      <c r="Q368" s="832"/>
      <c r="R368" s="807"/>
      <c r="S368" s="42"/>
      <c r="T368" s="42"/>
      <c r="U368" s="42"/>
      <c r="V368" s="42"/>
      <c r="W368" s="162"/>
    </row>
    <row r="369" spans="2:23" s="44" customFormat="1" ht="17" thickBot="1" x14ac:dyDescent="0.25">
      <c r="C369" s="159"/>
      <c r="D369" s="128" t="s">
        <v>1076</v>
      </c>
      <c r="E369" s="128"/>
      <c r="F369" s="128"/>
      <c r="G369" s="128"/>
      <c r="H369" s="128" t="s">
        <v>1080</v>
      </c>
      <c r="I369" s="128"/>
      <c r="J369" s="128" t="s">
        <v>160</v>
      </c>
      <c r="K369" s="129" t="s">
        <v>452</v>
      </c>
      <c r="L369" s="128"/>
      <c r="M369" s="128"/>
      <c r="N369" s="128"/>
      <c r="O369" s="128" t="s">
        <v>1081</v>
      </c>
      <c r="P369" s="805"/>
      <c r="Q369" s="833"/>
      <c r="R369" s="808"/>
      <c r="S369" s="128"/>
      <c r="T369" s="128"/>
      <c r="U369" s="128"/>
      <c r="V369" s="128"/>
      <c r="W369" s="163"/>
    </row>
    <row r="370" spans="2:23" s="44" customFormat="1" ht="17" thickBot="1" x14ac:dyDescent="0.25">
      <c r="D370" s="174"/>
      <c r="E370" s="174"/>
      <c r="Q370" s="20"/>
    </row>
    <row r="371" spans="2:23" s="44" customFormat="1" x14ac:dyDescent="0.2">
      <c r="C371" s="155"/>
      <c r="D371" s="127" t="s">
        <v>1065</v>
      </c>
      <c r="E371" s="127"/>
      <c r="F371" s="127"/>
      <c r="G371" s="127"/>
      <c r="H371" s="127"/>
      <c r="I371" s="127"/>
      <c r="J371" s="127" t="s">
        <v>160</v>
      </c>
      <c r="K371" s="127"/>
      <c r="L371" s="127"/>
      <c r="M371" s="127"/>
      <c r="N371" s="127" t="s">
        <v>1117</v>
      </c>
      <c r="O371" s="127" t="s">
        <v>1118</v>
      </c>
      <c r="P371" s="795"/>
      <c r="Q371" s="831" t="s">
        <v>1109</v>
      </c>
      <c r="R371" s="806" t="s">
        <v>114</v>
      </c>
      <c r="S371" s="127"/>
      <c r="T371" s="127"/>
      <c r="U371" s="127"/>
      <c r="V371" s="127"/>
      <c r="W371" s="161"/>
    </row>
    <row r="372" spans="2:23" s="44" customFormat="1" x14ac:dyDescent="0.2">
      <c r="C372" s="157"/>
      <c r="D372" s="42" t="s">
        <v>1063</v>
      </c>
      <c r="E372" s="42"/>
      <c r="F372" s="42"/>
      <c r="G372" s="42"/>
      <c r="H372" s="42"/>
      <c r="I372" s="42"/>
      <c r="J372" s="42" t="s">
        <v>160</v>
      </c>
      <c r="K372" s="5"/>
      <c r="L372" s="5"/>
      <c r="M372" s="42"/>
      <c r="N372" s="42" t="s">
        <v>1117</v>
      </c>
      <c r="O372" s="42" t="s">
        <v>1119</v>
      </c>
      <c r="P372" s="804"/>
      <c r="Q372" s="832"/>
      <c r="R372" s="807"/>
      <c r="S372" s="42"/>
      <c r="T372" s="42"/>
      <c r="U372" s="42"/>
      <c r="V372" s="42"/>
      <c r="W372" s="162"/>
    </row>
    <row r="373" spans="2:23" s="44" customFormat="1" x14ac:dyDescent="0.2">
      <c r="C373" s="157"/>
      <c r="D373" s="44" t="s">
        <v>1064</v>
      </c>
      <c r="F373" s="42"/>
      <c r="G373" s="42"/>
      <c r="H373" s="42"/>
      <c r="I373" s="42"/>
      <c r="J373" s="42" t="s">
        <v>160</v>
      </c>
      <c r="K373" s="42"/>
      <c r="L373" s="42"/>
      <c r="M373" s="42"/>
      <c r="N373" s="42" t="s">
        <v>1117</v>
      </c>
      <c r="O373" s="42" t="s">
        <v>1120</v>
      </c>
      <c r="P373" s="804"/>
      <c r="Q373" s="832"/>
      <c r="R373" s="807"/>
      <c r="S373" s="42"/>
      <c r="T373" s="42"/>
      <c r="U373" s="42"/>
      <c r="V373" s="42"/>
      <c r="W373" s="162"/>
    </row>
    <row r="374" spans="2:23" s="44" customFormat="1" ht="17" thickBot="1" x14ac:dyDescent="0.25">
      <c r="C374" s="159"/>
      <c r="D374" s="128" t="s">
        <v>1066</v>
      </c>
      <c r="E374" s="128"/>
      <c r="F374" s="128"/>
      <c r="G374" s="128"/>
      <c r="H374" s="128"/>
      <c r="I374" s="128"/>
      <c r="J374" s="128" t="s">
        <v>160</v>
      </c>
      <c r="K374" s="128"/>
      <c r="L374" s="128"/>
      <c r="M374" s="128"/>
      <c r="N374" s="128" t="s">
        <v>1117</v>
      </c>
      <c r="O374" s="42" t="s">
        <v>1121</v>
      </c>
      <c r="P374" s="805"/>
      <c r="Q374" s="833"/>
      <c r="R374" s="808"/>
      <c r="S374" s="128"/>
      <c r="T374" s="128"/>
      <c r="U374" s="128"/>
      <c r="V374" s="128"/>
      <c r="W374" s="163"/>
    </row>
    <row r="375" spans="2:23" s="44" customFormat="1" ht="17" thickBot="1" x14ac:dyDescent="0.25">
      <c r="D375" s="174"/>
      <c r="E375" s="174"/>
      <c r="Q375" s="20"/>
    </row>
    <row r="376" spans="2:23" s="44" customFormat="1" ht="89" customHeight="1" thickBot="1" x14ac:dyDescent="0.25">
      <c r="B376" s="652"/>
      <c r="C376" s="155"/>
      <c r="D376" s="127" t="s">
        <v>1771</v>
      </c>
      <c r="E376" s="647" t="s">
        <v>2114</v>
      </c>
      <c r="F376" s="154" t="s">
        <v>2126</v>
      </c>
      <c r="G376" s="154"/>
      <c r="H376" s="127" t="s">
        <v>2135</v>
      </c>
      <c r="I376" s="127"/>
      <c r="J376" s="127" t="s">
        <v>160</v>
      </c>
      <c r="K376" s="127" t="s">
        <v>160</v>
      </c>
      <c r="L376" s="650" t="s">
        <v>2152</v>
      </c>
      <c r="M376" s="127"/>
      <c r="N376" s="127"/>
      <c r="O376" s="127" t="s">
        <v>1559</v>
      </c>
      <c r="P376" s="795">
        <v>542082677</v>
      </c>
      <c r="Q376" s="831" t="s">
        <v>1770</v>
      </c>
      <c r="R376" s="806" t="s">
        <v>114</v>
      </c>
      <c r="S376" s="127"/>
      <c r="T376" s="127"/>
      <c r="U376" s="127"/>
      <c r="V376" s="127"/>
      <c r="W376" s="161"/>
    </row>
    <row r="377" spans="2:23" s="44" customFormat="1" x14ac:dyDescent="0.2">
      <c r="C377" s="157"/>
      <c r="D377" s="42" t="s">
        <v>1286</v>
      </c>
      <c r="E377" s="42"/>
      <c r="F377" s="42"/>
      <c r="G377" s="42"/>
      <c r="H377" s="42"/>
      <c r="I377" s="42"/>
      <c r="J377" s="42"/>
      <c r="K377" s="5"/>
      <c r="L377" s="5"/>
      <c r="M377" s="42"/>
      <c r="N377" s="42"/>
      <c r="O377" s="42"/>
      <c r="P377" s="804"/>
      <c r="Q377" s="832"/>
      <c r="R377" s="807"/>
      <c r="S377" s="42"/>
      <c r="T377" s="42"/>
      <c r="U377" s="42"/>
      <c r="V377" s="42"/>
      <c r="W377" s="162"/>
    </row>
    <row r="378" spans="2:23" s="44" customFormat="1" x14ac:dyDescent="0.2">
      <c r="C378" s="157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804"/>
      <c r="Q378" s="832"/>
      <c r="R378" s="807"/>
      <c r="S378" s="42"/>
      <c r="T378" s="42"/>
      <c r="U378" s="42"/>
      <c r="V378" s="42"/>
      <c r="W378" s="162"/>
    </row>
    <row r="379" spans="2:23" s="44" customFormat="1" ht="17" thickBot="1" x14ac:dyDescent="0.25">
      <c r="C379" s="159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805"/>
      <c r="Q379" s="833"/>
      <c r="R379" s="808"/>
      <c r="S379" s="128"/>
      <c r="T379" s="128"/>
      <c r="U379" s="128"/>
      <c r="V379" s="128"/>
      <c r="W379" s="163"/>
    </row>
    <row r="380" spans="2:23" s="44" customFormat="1" ht="17" thickBot="1" x14ac:dyDescent="0.25">
      <c r="D380" s="174"/>
      <c r="E380" s="174"/>
      <c r="Q380" s="20"/>
    </row>
    <row r="381" spans="2:23" s="44" customFormat="1" x14ac:dyDescent="0.2">
      <c r="C381" s="155"/>
      <c r="D381" s="127" t="s">
        <v>1413</v>
      </c>
      <c r="E381" s="127"/>
      <c r="F381" s="127"/>
      <c r="G381" s="127"/>
      <c r="H381" s="127"/>
      <c r="I381" s="127"/>
      <c r="J381" s="127" t="s">
        <v>160</v>
      </c>
      <c r="K381" s="129" t="s">
        <v>452</v>
      </c>
      <c r="L381" s="127"/>
      <c r="M381" s="127"/>
      <c r="N381" s="127"/>
      <c r="O381" s="127"/>
      <c r="P381" s="795"/>
      <c r="Q381" s="831" t="s">
        <v>1772</v>
      </c>
      <c r="R381" s="806" t="s">
        <v>114</v>
      </c>
      <c r="S381" s="127"/>
      <c r="T381" s="127"/>
      <c r="U381" s="127"/>
      <c r="V381" s="127"/>
      <c r="W381" s="161"/>
    </row>
    <row r="382" spans="2:23" s="44" customFormat="1" x14ac:dyDescent="0.2">
      <c r="C382" s="157"/>
      <c r="D382" s="42" t="s">
        <v>1774</v>
      </c>
      <c r="E382" s="42"/>
      <c r="F382" s="42"/>
      <c r="G382" s="42"/>
      <c r="H382" s="42"/>
      <c r="I382" s="42"/>
      <c r="J382" s="42" t="s">
        <v>160</v>
      </c>
      <c r="K382" s="5"/>
      <c r="L382" s="5"/>
      <c r="M382" s="42"/>
      <c r="N382" s="42"/>
      <c r="O382" s="42"/>
      <c r="P382" s="804"/>
      <c r="Q382" s="832"/>
      <c r="R382" s="807"/>
      <c r="S382" s="42"/>
      <c r="T382" s="42"/>
      <c r="U382" s="42"/>
      <c r="V382" s="42"/>
      <c r="W382" s="162"/>
    </row>
    <row r="383" spans="2:23" s="44" customFormat="1" x14ac:dyDescent="0.2">
      <c r="C383" s="157"/>
      <c r="D383" s="44" t="s">
        <v>1414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804"/>
      <c r="Q383" s="832"/>
      <c r="R383" s="807"/>
      <c r="S383" s="42"/>
      <c r="T383" s="42"/>
      <c r="U383" s="42"/>
      <c r="V383" s="42"/>
      <c r="W383" s="162"/>
    </row>
    <row r="384" spans="2:23" s="44" customFormat="1" ht="17" thickBot="1" x14ac:dyDescent="0.25">
      <c r="C384" s="159"/>
      <c r="D384" s="128" t="s">
        <v>1773</v>
      </c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805"/>
      <c r="Q384" s="833"/>
      <c r="R384" s="808"/>
      <c r="S384" s="128"/>
      <c r="T384" s="128"/>
      <c r="U384" s="128"/>
      <c r="V384" s="128"/>
      <c r="W384" s="163"/>
    </row>
    <row r="385" spans="3:24" s="44" customFormat="1" ht="17" thickBot="1" x14ac:dyDescent="0.25">
      <c r="D385" s="174"/>
      <c r="E385" s="174"/>
      <c r="Q385" s="20"/>
    </row>
    <row r="386" spans="3:24" ht="16" customHeight="1" x14ac:dyDescent="0.2">
      <c r="C386" s="155"/>
      <c r="D386" s="127" t="s">
        <v>1759</v>
      </c>
      <c r="E386" s="127"/>
      <c r="F386" s="127"/>
      <c r="G386" s="127"/>
      <c r="H386" s="127" t="s">
        <v>1764</v>
      </c>
      <c r="I386" s="127"/>
      <c r="J386" s="127" t="s">
        <v>160</v>
      </c>
      <c r="K386" s="475" t="s">
        <v>1756</v>
      </c>
      <c r="L386" s="475"/>
      <c r="M386" s="127"/>
      <c r="N386" s="127"/>
      <c r="O386" s="127" t="s">
        <v>1592</v>
      </c>
      <c r="P386" s="795">
        <v>542082572</v>
      </c>
      <c r="Q386" s="831" t="s">
        <v>1758</v>
      </c>
      <c r="R386" s="806" t="s">
        <v>114</v>
      </c>
      <c r="S386" s="127"/>
      <c r="T386" s="127"/>
      <c r="U386" s="127"/>
      <c r="V386" s="127"/>
      <c r="W386" s="161"/>
    </row>
    <row r="387" spans="3:24" ht="16" customHeight="1" x14ac:dyDescent="0.2">
      <c r="C387" s="157"/>
      <c r="D387" s="42" t="s">
        <v>1760</v>
      </c>
      <c r="E387" s="42"/>
      <c r="F387" s="42"/>
      <c r="G387" s="42"/>
      <c r="H387" s="42" t="s">
        <v>1766</v>
      </c>
      <c r="I387" s="42"/>
      <c r="J387" s="42" t="s">
        <v>160</v>
      </c>
      <c r="K387" s="5" t="s">
        <v>1551</v>
      </c>
      <c r="L387" s="5"/>
      <c r="M387" s="42"/>
      <c r="N387" s="42"/>
      <c r="O387" s="42" t="s">
        <v>1593</v>
      </c>
      <c r="P387" s="804"/>
      <c r="Q387" s="832"/>
      <c r="R387" s="807"/>
      <c r="S387" s="42"/>
      <c r="T387" s="42"/>
      <c r="U387" s="42"/>
      <c r="V387" s="42"/>
      <c r="W387" s="162"/>
    </row>
    <row r="388" spans="3:24" ht="16" customHeight="1" x14ac:dyDescent="0.2">
      <c r="C388" s="157"/>
      <c r="D388" s="44" t="s">
        <v>1761</v>
      </c>
      <c r="E388" s="44"/>
      <c r="F388" s="42"/>
      <c r="G388" s="42"/>
      <c r="H388" s="42" t="s">
        <v>1763</v>
      </c>
      <c r="I388" s="42"/>
      <c r="J388" s="42" t="s">
        <v>160</v>
      </c>
      <c r="K388" s="476" t="s">
        <v>1551</v>
      </c>
      <c r="L388" s="476"/>
      <c r="M388" s="42"/>
      <c r="N388" s="42"/>
      <c r="O388" s="42" t="s">
        <v>1767</v>
      </c>
      <c r="P388" s="804"/>
      <c r="Q388" s="832"/>
      <c r="R388" s="807"/>
      <c r="S388" s="42"/>
      <c r="T388" s="42"/>
      <c r="U388" s="42"/>
      <c r="V388" s="42"/>
      <c r="W388" s="162"/>
    </row>
    <row r="389" spans="3:24" ht="16" customHeight="1" thickBot="1" x14ac:dyDescent="0.25">
      <c r="C389" s="159"/>
      <c r="D389" s="128" t="s">
        <v>1762</v>
      </c>
      <c r="E389" s="128"/>
      <c r="F389" s="128"/>
      <c r="G389" s="128"/>
      <c r="H389" s="128" t="s">
        <v>1765</v>
      </c>
      <c r="I389" s="128"/>
      <c r="J389" s="128" t="s">
        <v>160</v>
      </c>
      <c r="K389" s="477" t="s">
        <v>1551</v>
      </c>
      <c r="L389" s="477"/>
      <c r="M389" s="128"/>
      <c r="N389" s="128"/>
      <c r="O389" s="128" t="s">
        <v>1768</v>
      </c>
      <c r="P389" s="805"/>
      <c r="Q389" s="833"/>
      <c r="R389" s="808"/>
      <c r="S389" s="128"/>
      <c r="T389" s="128"/>
      <c r="U389" s="128"/>
      <c r="V389" s="128"/>
      <c r="W389" s="163"/>
    </row>
    <row r="390" spans="3:24" ht="16" customHeight="1" thickBot="1" x14ac:dyDescent="0.25">
      <c r="C390" s="44"/>
      <c r="D390" s="174"/>
      <c r="E390" s="17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20"/>
      <c r="R390" s="44"/>
      <c r="S390" s="44"/>
      <c r="T390" s="44"/>
      <c r="U390" s="44"/>
      <c r="V390" s="44"/>
      <c r="W390" s="44"/>
      <c r="X390" s="44"/>
    </row>
    <row r="391" spans="3:24" s="44" customFormat="1" x14ac:dyDescent="0.2">
      <c r="C391" s="155"/>
      <c r="D391" s="127" t="s">
        <v>1068</v>
      </c>
      <c r="E391" s="127"/>
      <c r="F391" s="127"/>
      <c r="G391" s="127"/>
      <c r="H391" s="127"/>
      <c r="I391" s="127"/>
      <c r="J391" s="127" t="s">
        <v>160</v>
      </c>
      <c r="K391" s="127"/>
      <c r="L391" s="127"/>
      <c r="M391" s="127"/>
      <c r="N391" s="127" t="s">
        <v>1093</v>
      </c>
      <c r="O391" s="127" t="s">
        <v>771</v>
      </c>
      <c r="P391" s="795"/>
      <c r="Q391" s="831" t="s">
        <v>1105</v>
      </c>
      <c r="R391" s="806" t="s">
        <v>114</v>
      </c>
      <c r="S391" s="127"/>
      <c r="T391" s="127"/>
      <c r="U391" s="127"/>
      <c r="V391" s="127"/>
      <c r="W391" s="161"/>
    </row>
    <row r="392" spans="3:24" s="44" customFormat="1" x14ac:dyDescent="0.2">
      <c r="C392" s="157"/>
      <c r="D392" s="42" t="s">
        <v>1069</v>
      </c>
      <c r="E392" s="42"/>
      <c r="F392" s="42"/>
      <c r="G392" s="42"/>
      <c r="H392" s="42"/>
      <c r="I392" s="42"/>
      <c r="J392" s="42" t="s">
        <v>160</v>
      </c>
      <c r="K392" s="5"/>
      <c r="L392" s="5"/>
      <c r="M392" s="42"/>
      <c r="N392" s="42" t="s">
        <v>1108</v>
      </c>
      <c r="O392" s="42" t="s">
        <v>1106</v>
      </c>
      <c r="P392" s="804"/>
      <c r="Q392" s="832"/>
      <c r="R392" s="807"/>
      <c r="S392" s="42"/>
      <c r="T392" s="42"/>
      <c r="U392" s="42"/>
      <c r="V392" s="42"/>
      <c r="W392" s="162"/>
    </row>
    <row r="393" spans="3:24" s="44" customFormat="1" x14ac:dyDescent="0.2">
      <c r="C393" s="157"/>
      <c r="D393" s="44" t="s">
        <v>1070</v>
      </c>
      <c r="F393" s="42"/>
      <c r="G393" s="42"/>
      <c r="H393" s="42"/>
      <c r="I393" s="42"/>
      <c r="J393" s="42" t="s">
        <v>160</v>
      </c>
      <c r="K393" s="42"/>
      <c r="L393" s="42"/>
      <c r="M393" s="42"/>
      <c r="N393" s="42" t="s">
        <v>1098</v>
      </c>
      <c r="O393" s="42" t="s">
        <v>1107</v>
      </c>
      <c r="P393" s="804"/>
      <c r="Q393" s="832"/>
      <c r="R393" s="807"/>
      <c r="S393" s="42"/>
      <c r="T393" s="42"/>
      <c r="U393" s="42"/>
      <c r="V393" s="42"/>
      <c r="W393" s="162"/>
    </row>
    <row r="394" spans="3:24" s="44" customFormat="1" ht="17" thickBot="1" x14ac:dyDescent="0.25">
      <c r="C394" s="159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805"/>
      <c r="Q394" s="833"/>
      <c r="R394" s="808"/>
      <c r="S394" s="128"/>
      <c r="T394" s="128"/>
      <c r="U394" s="128"/>
      <c r="V394" s="128"/>
      <c r="W394" s="163"/>
    </row>
    <row r="395" spans="3:24" s="44" customFormat="1" ht="17" thickBot="1" x14ac:dyDescent="0.25">
      <c r="D395" s="174"/>
      <c r="E395" s="174"/>
      <c r="Q395" s="20"/>
    </row>
    <row r="396" spans="3:24" s="44" customFormat="1" x14ac:dyDescent="0.2">
      <c r="C396" s="155"/>
      <c r="D396" s="127" t="s">
        <v>1210</v>
      </c>
      <c r="E396" s="127"/>
      <c r="F396" s="127"/>
      <c r="G396" s="127"/>
      <c r="H396" s="127"/>
      <c r="I396" s="127"/>
      <c r="J396" s="127" t="s">
        <v>160</v>
      </c>
      <c r="K396" s="127"/>
      <c r="L396" s="127"/>
      <c r="M396" s="127"/>
      <c r="N396" s="127" t="s">
        <v>1093</v>
      </c>
      <c r="O396" s="127" t="s">
        <v>771</v>
      </c>
      <c r="P396" s="795"/>
      <c r="Q396" s="831" t="s">
        <v>1207</v>
      </c>
      <c r="R396" s="806" t="s">
        <v>114</v>
      </c>
      <c r="S396" s="127"/>
      <c r="T396" s="127"/>
      <c r="U396" s="127"/>
      <c r="V396" s="127"/>
      <c r="W396" s="161"/>
    </row>
    <row r="397" spans="3:24" s="44" customFormat="1" x14ac:dyDescent="0.2">
      <c r="C397" s="157"/>
      <c r="D397" s="42" t="s">
        <v>1211</v>
      </c>
      <c r="E397" s="42"/>
      <c r="F397" s="42"/>
      <c r="G397" s="42"/>
      <c r="H397" s="42"/>
      <c r="I397" s="42"/>
      <c r="J397" s="42" t="s">
        <v>160</v>
      </c>
      <c r="K397" s="5"/>
      <c r="L397" s="5"/>
      <c r="M397" s="42"/>
      <c r="N397" s="42" t="s">
        <v>1108</v>
      </c>
      <c r="O397" s="42" t="s">
        <v>1106</v>
      </c>
      <c r="P397" s="804"/>
      <c r="Q397" s="832"/>
      <c r="R397" s="807"/>
      <c r="S397" s="42"/>
      <c r="T397" s="42"/>
      <c r="U397" s="42"/>
      <c r="V397" s="42"/>
      <c r="W397" s="162"/>
    </row>
    <row r="398" spans="3:24" s="44" customFormat="1" ht="15.5" customHeight="1" x14ac:dyDescent="0.2">
      <c r="C398" s="157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804"/>
      <c r="Q398" s="832"/>
      <c r="R398" s="807"/>
      <c r="S398" s="42"/>
      <c r="T398" s="42"/>
      <c r="U398" s="42"/>
      <c r="V398" s="42"/>
      <c r="W398" s="162"/>
    </row>
    <row r="399" spans="3:24" s="44" customFormat="1" ht="17" thickBot="1" x14ac:dyDescent="0.25">
      <c r="C399" s="159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805"/>
      <c r="Q399" s="833"/>
      <c r="R399" s="808"/>
      <c r="S399" s="128"/>
      <c r="T399" s="128"/>
      <c r="U399" s="128"/>
      <c r="V399" s="128"/>
      <c r="W399" s="163"/>
    </row>
    <row r="400" spans="3:24" s="44" customFormat="1" ht="17" thickBot="1" x14ac:dyDescent="0.25">
      <c r="D400" s="174"/>
      <c r="E400" s="174"/>
      <c r="Q400" s="20"/>
    </row>
    <row r="401" spans="2:24" s="44" customFormat="1" x14ac:dyDescent="0.2">
      <c r="C401" s="155"/>
      <c r="D401" s="127" t="s">
        <v>1212</v>
      </c>
      <c r="E401" s="127"/>
      <c r="F401" s="127"/>
      <c r="G401" s="127"/>
      <c r="H401" s="127"/>
      <c r="I401" s="127"/>
      <c r="J401" s="127" t="s">
        <v>160</v>
      </c>
      <c r="K401" s="127"/>
      <c r="L401" s="127"/>
      <c r="M401" s="127"/>
      <c r="N401" s="127" t="s">
        <v>1093</v>
      </c>
      <c r="O401" s="127" t="s">
        <v>771</v>
      </c>
      <c r="P401" s="795"/>
      <c r="Q401" s="831" t="s">
        <v>1208</v>
      </c>
      <c r="R401" s="806" t="s">
        <v>114</v>
      </c>
      <c r="S401" s="127"/>
      <c r="T401" s="127"/>
      <c r="U401" s="127"/>
      <c r="V401" s="127"/>
      <c r="W401" s="161"/>
      <c r="X401" s="40"/>
    </row>
    <row r="402" spans="2:24" s="40" customFormat="1" ht="16" customHeight="1" x14ac:dyDescent="0.2">
      <c r="C402" s="157"/>
      <c r="D402" s="42" t="s">
        <v>1213</v>
      </c>
      <c r="E402" s="536"/>
      <c r="F402" s="42"/>
      <c r="G402" s="42"/>
      <c r="H402" s="42"/>
      <c r="I402" s="42"/>
      <c r="J402" s="42" t="s">
        <v>160</v>
      </c>
      <c r="K402" s="5"/>
      <c r="L402" s="5"/>
      <c r="M402" s="42"/>
      <c r="N402" s="42" t="s">
        <v>1108</v>
      </c>
      <c r="O402" s="42" t="s">
        <v>1106</v>
      </c>
      <c r="P402" s="804"/>
      <c r="Q402" s="832"/>
      <c r="R402" s="807"/>
      <c r="S402" s="42"/>
      <c r="T402" s="42"/>
      <c r="U402" s="42"/>
      <c r="V402" s="42"/>
      <c r="W402" s="162"/>
      <c r="X402" s="44"/>
    </row>
    <row r="403" spans="2:24" s="44" customFormat="1" ht="255" x14ac:dyDescent="0.2">
      <c r="C403" s="654" t="s">
        <v>2142</v>
      </c>
      <c r="D403" s="44" t="s">
        <v>1215</v>
      </c>
      <c r="E403" s="41" t="s">
        <v>2117</v>
      </c>
      <c r="F403" s="653" t="s">
        <v>2143</v>
      </c>
      <c r="G403" s="41"/>
      <c r="H403" s="224" t="s">
        <v>2135</v>
      </c>
      <c r="I403" s="41"/>
      <c r="J403" s="41" t="s">
        <v>160</v>
      </c>
      <c r="K403" s="41" t="s">
        <v>160</v>
      </c>
      <c r="L403" s="655" t="s">
        <v>2147</v>
      </c>
      <c r="M403" s="41"/>
      <c r="N403" s="41"/>
      <c r="O403" s="41" t="s">
        <v>1131</v>
      </c>
      <c r="P403" s="804"/>
      <c r="Q403" s="832"/>
      <c r="R403" s="807"/>
      <c r="S403" s="42"/>
      <c r="T403" s="42"/>
      <c r="U403" s="42"/>
      <c r="V403" s="42"/>
      <c r="W403" s="162"/>
    </row>
    <row r="404" spans="2:24" s="44" customFormat="1" ht="18" thickBot="1" x14ac:dyDescent="0.25">
      <c r="B404" s="652"/>
      <c r="C404" s="159"/>
      <c r="D404" s="128" t="s">
        <v>1214</v>
      </c>
      <c r="E404" s="642"/>
      <c r="F404" s="642"/>
      <c r="G404" s="642"/>
      <c r="H404" s="642"/>
      <c r="I404" s="642"/>
      <c r="J404" s="642" t="s">
        <v>160</v>
      </c>
      <c r="K404" s="642"/>
      <c r="L404" s="642"/>
      <c r="M404" s="642"/>
      <c r="N404" s="642"/>
      <c r="O404" s="224" t="s">
        <v>1903</v>
      </c>
      <c r="P404" s="805"/>
      <c r="Q404" s="17" t="s">
        <v>447</v>
      </c>
      <c r="R404" s="808"/>
      <c r="S404" s="128"/>
      <c r="T404" s="128"/>
      <c r="U404" s="128"/>
      <c r="V404" s="128"/>
      <c r="W404" s="163"/>
    </row>
    <row r="405" spans="2:24" s="44" customFormat="1" ht="17" thickBot="1" x14ac:dyDescent="0.25">
      <c r="D405" s="174"/>
      <c r="E405" s="174"/>
      <c r="Q405" s="20"/>
    </row>
    <row r="406" spans="2:24" ht="16" customHeight="1" thickBot="1" x14ac:dyDescent="0.25">
      <c r="C406" s="155" t="s">
        <v>1757</v>
      </c>
      <c r="D406" s="127" t="s">
        <v>1217</v>
      </c>
      <c r="E406" s="127"/>
      <c r="F406" s="127"/>
      <c r="G406" s="127"/>
      <c r="H406" s="127" t="s">
        <v>1754</v>
      </c>
      <c r="I406" s="127"/>
      <c r="J406" s="127" t="s">
        <v>160</v>
      </c>
      <c r="K406" s="475" t="s">
        <v>1756</v>
      </c>
      <c r="L406" s="475"/>
      <c r="M406" s="127"/>
      <c r="N406" s="127" t="s">
        <v>1093</v>
      </c>
      <c r="O406" s="127" t="s">
        <v>1592</v>
      </c>
      <c r="P406" s="795">
        <v>542082672</v>
      </c>
      <c r="Q406" s="831" t="s">
        <v>1209</v>
      </c>
      <c r="R406" s="806" t="s">
        <v>114</v>
      </c>
      <c r="S406" s="127"/>
      <c r="T406" s="127"/>
      <c r="U406" s="127"/>
      <c r="V406" s="127"/>
      <c r="W406" s="161"/>
    </row>
    <row r="407" spans="2:24" ht="16" customHeight="1" thickBot="1" x14ac:dyDescent="0.25">
      <c r="C407" s="155" t="s">
        <v>1757</v>
      </c>
      <c r="D407" s="42" t="s">
        <v>1218</v>
      </c>
      <c r="E407" s="42"/>
      <c r="F407" s="42"/>
      <c r="G407" s="42"/>
      <c r="H407" s="42" t="s">
        <v>1752</v>
      </c>
      <c r="I407" s="42"/>
      <c r="J407" s="42" t="s">
        <v>160</v>
      </c>
      <c r="K407" s="5" t="s">
        <v>1551</v>
      </c>
      <c r="L407" s="5"/>
      <c r="M407" s="42"/>
      <c r="N407" s="42" t="s">
        <v>1108</v>
      </c>
      <c r="O407" s="42" t="s">
        <v>1593</v>
      </c>
      <c r="P407" s="804"/>
      <c r="Q407" s="832"/>
      <c r="R407" s="807"/>
      <c r="S407" s="42"/>
      <c r="T407" s="42"/>
      <c r="U407" s="42"/>
      <c r="V407" s="42"/>
      <c r="W407" s="162"/>
    </row>
    <row r="408" spans="2:24" ht="16" customHeight="1" x14ac:dyDescent="0.2">
      <c r="C408" s="155" t="s">
        <v>1757</v>
      </c>
      <c r="D408" s="44" t="s">
        <v>1216</v>
      </c>
      <c r="E408" s="44"/>
      <c r="F408" s="42"/>
      <c r="G408" s="42"/>
      <c r="H408" s="42" t="s">
        <v>1753</v>
      </c>
      <c r="I408" s="42"/>
      <c r="J408" s="42" t="s">
        <v>160</v>
      </c>
      <c r="K408" s="476" t="s">
        <v>1551</v>
      </c>
      <c r="L408" s="476"/>
      <c r="M408" s="42"/>
      <c r="N408" s="42" t="s">
        <v>1098</v>
      </c>
      <c r="O408" s="42" t="s">
        <v>1755</v>
      </c>
      <c r="P408" s="804"/>
      <c r="Q408" s="832"/>
      <c r="R408" s="807"/>
      <c r="S408" s="42"/>
      <c r="T408" s="42"/>
      <c r="U408" s="42"/>
      <c r="V408" s="42"/>
      <c r="W408" s="162"/>
    </row>
    <row r="409" spans="2:24" ht="16" customHeight="1" thickBot="1" x14ac:dyDescent="0.25">
      <c r="C409" s="159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805"/>
      <c r="Q409" s="833"/>
      <c r="R409" s="808"/>
      <c r="S409" s="128"/>
      <c r="T409" s="128"/>
      <c r="U409" s="40"/>
      <c r="V409" s="40"/>
      <c r="W409" s="40"/>
    </row>
    <row r="410" spans="2:24" ht="16" customHeight="1" thickBot="1" x14ac:dyDescent="0.25">
      <c r="C410" s="47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4"/>
      <c r="P410" s="40"/>
      <c r="Q410" s="40"/>
      <c r="R410" s="40"/>
      <c r="S410" s="40"/>
      <c r="T410" s="40"/>
      <c r="U410" s="127"/>
      <c r="V410" s="127"/>
      <c r="W410" s="161"/>
    </row>
    <row r="411" spans="2:24" s="44" customFormat="1" x14ac:dyDescent="0.2">
      <c r="C411" s="155"/>
      <c r="D411" s="127" t="s">
        <v>1237</v>
      </c>
      <c r="E411" s="127"/>
      <c r="F411" s="127"/>
      <c r="G411" s="127"/>
      <c r="H411" s="127"/>
      <c r="I411" s="127"/>
      <c r="J411" s="127" t="s">
        <v>160</v>
      </c>
      <c r="K411" s="127"/>
      <c r="L411" s="127"/>
      <c r="M411" s="127"/>
      <c r="N411" s="127" t="s">
        <v>1093</v>
      </c>
      <c r="O411" s="127" t="s">
        <v>771</v>
      </c>
      <c r="P411" s="795"/>
      <c r="Q411" s="831" t="s">
        <v>1236</v>
      </c>
      <c r="R411" s="806" t="s">
        <v>114</v>
      </c>
      <c r="S411" s="127"/>
      <c r="T411" s="127"/>
      <c r="U411" s="127"/>
      <c r="V411" s="127"/>
      <c r="W411" s="161"/>
      <c r="X411" s="40"/>
    </row>
    <row r="412" spans="2:24" s="40" customFormat="1" ht="15" customHeight="1" x14ac:dyDescent="0.2">
      <c r="C412" s="157"/>
      <c r="D412" s="42" t="s">
        <v>1238</v>
      </c>
      <c r="E412" s="42"/>
      <c r="F412" s="42"/>
      <c r="G412" s="42"/>
      <c r="H412" s="42"/>
      <c r="I412" s="42"/>
      <c r="J412" s="42" t="s">
        <v>160</v>
      </c>
      <c r="K412" s="5"/>
      <c r="L412" s="5"/>
      <c r="M412" s="42"/>
      <c r="N412" s="42" t="s">
        <v>1108</v>
      </c>
      <c r="O412" s="42" t="s">
        <v>1106</v>
      </c>
      <c r="P412" s="804"/>
      <c r="Q412" s="832"/>
      <c r="R412" s="807"/>
      <c r="S412" s="42"/>
      <c r="T412" s="42"/>
      <c r="U412" s="42"/>
      <c r="V412" s="42"/>
      <c r="W412" s="162"/>
      <c r="X412" s="44"/>
    </row>
    <row r="413" spans="2:24" s="44" customFormat="1" x14ac:dyDescent="0.2">
      <c r="C413" s="53"/>
      <c r="D413" s="44" t="s">
        <v>1239</v>
      </c>
      <c r="F413" s="42"/>
      <c r="G413" s="42"/>
      <c r="H413" s="42"/>
      <c r="I413" s="42"/>
      <c r="J413" s="42" t="s">
        <v>160</v>
      </c>
      <c r="K413" s="42"/>
      <c r="L413" s="42"/>
      <c r="M413" s="42"/>
      <c r="N413" s="42" t="s">
        <v>1098</v>
      </c>
      <c r="O413" s="42" t="s">
        <v>1107</v>
      </c>
      <c r="P413" s="804"/>
      <c r="Q413" s="832"/>
      <c r="R413" s="807"/>
      <c r="S413" s="42"/>
      <c r="T413" s="42"/>
      <c r="U413" s="42"/>
      <c r="V413" s="42"/>
      <c r="W413" s="162"/>
    </row>
    <row r="414" spans="2:24" s="44" customFormat="1" ht="17" thickBot="1" x14ac:dyDescent="0.25">
      <c r="C414" s="159"/>
      <c r="D414" s="128" t="s">
        <v>1247</v>
      </c>
      <c r="E414" s="128"/>
      <c r="F414" s="128"/>
      <c r="G414" s="128"/>
      <c r="H414" s="128"/>
      <c r="I414" s="128"/>
      <c r="J414" s="128" t="s">
        <v>1246</v>
      </c>
      <c r="K414" s="128"/>
      <c r="L414" s="128"/>
      <c r="M414" s="128"/>
      <c r="N414" s="128"/>
      <c r="O414" s="128"/>
      <c r="P414" s="805"/>
      <c r="Q414" s="833"/>
      <c r="R414" s="808"/>
      <c r="S414" s="128"/>
      <c r="T414" s="128"/>
      <c r="U414" s="128"/>
      <c r="V414" s="128"/>
      <c r="W414" s="163"/>
    </row>
    <row r="415" spans="2:24" s="44" customFormat="1" ht="17" thickBot="1" x14ac:dyDescent="0.25">
      <c r="Q415" s="20"/>
      <c r="R415" s="176"/>
    </row>
    <row r="416" spans="2:24" s="44" customFormat="1" x14ac:dyDescent="0.2">
      <c r="C416" s="155"/>
      <c r="D416" s="127" t="s">
        <v>770</v>
      </c>
      <c r="E416" s="127"/>
      <c r="F416" s="127"/>
      <c r="G416" s="127"/>
      <c r="H416" s="127"/>
      <c r="I416" s="127"/>
      <c r="J416" s="127"/>
      <c r="K416" s="127" t="s">
        <v>160</v>
      </c>
      <c r="L416" s="127"/>
      <c r="M416" s="127"/>
      <c r="N416" s="127"/>
      <c r="O416" s="127" t="s">
        <v>771</v>
      </c>
      <c r="P416" s="223"/>
      <c r="Q416" s="831" t="s">
        <v>768</v>
      </c>
      <c r="R416" s="806" t="s">
        <v>114</v>
      </c>
      <c r="S416" s="127"/>
      <c r="T416" s="127"/>
      <c r="U416" s="127"/>
      <c r="V416" s="127"/>
      <c r="W416" s="161"/>
    </row>
    <row r="417" spans="2:24" s="44" customFormat="1" ht="18" thickBot="1" x14ac:dyDescent="0.25">
      <c r="C417" s="157"/>
      <c r="D417" s="42" t="s">
        <v>772</v>
      </c>
      <c r="E417" s="42"/>
      <c r="F417" s="42"/>
      <c r="G417" s="42"/>
      <c r="H417" s="42" t="s">
        <v>1690</v>
      </c>
      <c r="I417" s="224"/>
      <c r="J417" s="42"/>
      <c r="K417" s="214" t="s">
        <v>49</v>
      </c>
      <c r="L417" s="42"/>
      <c r="M417" s="42"/>
      <c r="N417" s="42"/>
      <c r="O417" s="38" t="s">
        <v>774</v>
      </c>
      <c r="P417" s="48"/>
      <c r="Q417" s="832"/>
      <c r="R417" s="807"/>
      <c r="S417" s="42"/>
      <c r="T417" s="42"/>
      <c r="U417" s="42"/>
      <c r="V417" s="42"/>
      <c r="W417" s="162"/>
    </row>
    <row r="418" spans="2:24" s="44" customFormat="1" x14ac:dyDescent="0.2">
      <c r="C418" s="157"/>
      <c r="D418" s="42" t="s">
        <v>773</v>
      </c>
      <c r="E418" s="42"/>
      <c r="F418" s="42"/>
      <c r="G418" s="42"/>
      <c r="H418" s="42"/>
      <c r="I418" s="42"/>
      <c r="J418" s="42" t="s">
        <v>160</v>
      </c>
      <c r="K418" s="42"/>
      <c r="L418" s="42"/>
      <c r="M418" s="42"/>
      <c r="N418" s="42"/>
      <c r="O418" s="42" t="s">
        <v>775</v>
      </c>
      <c r="P418" s="42"/>
      <c r="Q418" s="832"/>
      <c r="R418" s="807"/>
      <c r="S418" s="42"/>
      <c r="T418" s="42"/>
      <c r="U418" s="42"/>
      <c r="V418" s="42"/>
      <c r="W418" s="162"/>
    </row>
    <row r="419" spans="2:24" s="44" customFormat="1" ht="17" thickBot="1" x14ac:dyDescent="0.25">
      <c r="C419" s="159"/>
      <c r="D419" s="128" t="s">
        <v>591</v>
      </c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833"/>
      <c r="R419" s="808"/>
      <c r="S419" s="128"/>
      <c r="T419" s="128"/>
      <c r="U419" s="128"/>
      <c r="V419" s="128"/>
      <c r="W419" s="163"/>
    </row>
    <row r="420" spans="2:24" s="44" customFormat="1" ht="17" thickBot="1" x14ac:dyDescent="0.25">
      <c r="C420" s="47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P420" s="40"/>
      <c r="Q420" s="121"/>
      <c r="R420" s="40"/>
      <c r="S420" s="40"/>
      <c r="T420" s="40"/>
      <c r="U420" s="40"/>
      <c r="V420" s="40"/>
      <c r="W420" s="40"/>
      <c r="X420"/>
    </row>
    <row r="421" spans="2:24" ht="15.5" customHeight="1" x14ac:dyDescent="0.2">
      <c r="C421" s="155"/>
      <c r="D421" s="127" t="s">
        <v>729</v>
      </c>
      <c r="E421" s="127"/>
      <c r="F421" s="127"/>
      <c r="G421" s="127" t="s">
        <v>732</v>
      </c>
      <c r="H421" s="127" t="s">
        <v>1412</v>
      </c>
      <c r="I421" s="127"/>
      <c r="J421" s="347" t="s">
        <v>49</v>
      </c>
      <c r="K421" s="127" t="s">
        <v>160</v>
      </c>
      <c r="L421" s="127"/>
      <c r="M421" s="127"/>
      <c r="N421" s="127"/>
      <c r="O421" s="127" t="s">
        <v>1489</v>
      </c>
      <c r="P421" s="223"/>
      <c r="Q421" s="831" t="s">
        <v>734</v>
      </c>
      <c r="R421" s="806" t="s">
        <v>114</v>
      </c>
      <c r="S421" s="127"/>
      <c r="T421" s="127"/>
      <c r="U421" s="127"/>
      <c r="V421" s="127"/>
      <c r="W421" s="161"/>
    </row>
    <row r="422" spans="2:24" ht="16" customHeight="1" x14ac:dyDescent="0.2">
      <c r="C422" s="157" t="s">
        <v>1490</v>
      </c>
      <c r="D422" s="42" t="s">
        <v>730</v>
      </c>
      <c r="E422" s="42"/>
      <c r="F422" s="42"/>
      <c r="G422" s="42" t="s">
        <v>733</v>
      </c>
      <c r="H422" s="42" t="s">
        <v>973</v>
      </c>
      <c r="I422" s="224"/>
      <c r="J422" s="346" t="s">
        <v>49</v>
      </c>
      <c r="K422" s="42" t="s">
        <v>160</v>
      </c>
      <c r="L422" s="42"/>
      <c r="M422" s="42"/>
      <c r="N422" s="42"/>
      <c r="O422" s="38" t="s">
        <v>1491</v>
      </c>
      <c r="P422" s="48"/>
      <c r="Q422" s="832"/>
      <c r="R422" s="807"/>
      <c r="S422" s="42"/>
      <c r="T422" s="42"/>
      <c r="U422" s="42"/>
      <c r="V422" s="42"/>
      <c r="W422" s="162"/>
    </row>
    <row r="423" spans="2:24" ht="36" customHeight="1" x14ac:dyDescent="0.2">
      <c r="B423" s="631" t="s">
        <v>2074</v>
      </c>
      <c r="C423" s="535" t="s">
        <v>2073</v>
      </c>
      <c r="D423" s="42" t="s">
        <v>731</v>
      </c>
      <c r="E423" s="42"/>
      <c r="F423" s="535"/>
      <c r="G423" s="42"/>
      <c r="H423" s="42" t="s">
        <v>1484</v>
      </c>
      <c r="I423" s="42" t="s">
        <v>1616</v>
      </c>
      <c r="J423" s="42" t="s">
        <v>160</v>
      </c>
      <c r="K423" s="42" t="s">
        <v>160</v>
      </c>
      <c r="L423" s="42"/>
      <c r="M423" s="165" t="s">
        <v>1919</v>
      </c>
      <c r="N423" s="42"/>
      <c r="O423" s="42" t="s">
        <v>1492</v>
      </c>
      <c r="P423" s="42"/>
      <c r="Q423" s="832"/>
      <c r="R423" s="807"/>
      <c r="S423" s="42"/>
      <c r="T423" s="42"/>
      <c r="U423" s="42"/>
      <c r="V423" s="42"/>
      <c r="W423" s="162"/>
    </row>
    <row r="424" spans="2:24" ht="16" customHeight="1" thickBot="1" x14ac:dyDescent="0.25">
      <c r="C424" s="159"/>
      <c r="D424" s="128" t="s">
        <v>627</v>
      </c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833"/>
      <c r="R424" s="808"/>
      <c r="S424" s="128"/>
      <c r="T424" s="128"/>
      <c r="U424" s="128"/>
      <c r="V424" s="128"/>
      <c r="W424" s="163"/>
    </row>
    <row r="425" spans="2:24" ht="16" customHeight="1" thickBot="1" x14ac:dyDescent="0.25">
      <c r="C425" s="47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4"/>
      <c r="P425" s="40"/>
      <c r="Q425" s="40"/>
      <c r="R425" s="40"/>
      <c r="S425" s="40"/>
      <c r="T425" s="40"/>
      <c r="U425" s="40"/>
      <c r="V425" s="40"/>
      <c r="W425" s="40"/>
    </row>
    <row r="426" spans="2:24" ht="16" customHeight="1" x14ac:dyDescent="0.2">
      <c r="C426" s="155"/>
      <c r="D426" s="127" t="s">
        <v>736</v>
      </c>
      <c r="E426" s="127"/>
      <c r="F426" s="127"/>
      <c r="G426" s="127" t="s">
        <v>732</v>
      </c>
      <c r="H426" s="127" t="s">
        <v>1410</v>
      </c>
      <c r="I426" s="127"/>
      <c r="J426" s="347" t="s">
        <v>49</v>
      </c>
      <c r="K426" s="127" t="s">
        <v>160</v>
      </c>
      <c r="L426" s="127"/>
      <c r="M426" s="127"/>
      <c r="N426" s="127"/>
      <c r="O426" s="127" t="s">
        <v>1494</v>
      </c>
      <c r="P426" s="223"/>
      <c r="Q426" s="831" t="s">
        <v>735</v>
      </c>
      <c r="R426" s="806" t="s">
        <v>114</v>
      </c>
      <c r="S426" s="127"/>
      <c r="T426" s="127"/>
      <c r="U426" s="127"/>
      <c r="V426" s="127"/>
      <c r="W426" s="161"/>
    </row>
    <row r="427" spans="2:24" ht="16" customHeight="1" x14ac:dyDescent="0.2">
      <c r="C427" s="157" t="s">
        <v>1490</v>
      </c>
      <c r="D427" s="42" t="s">
        <v>737</v>
      </c>
      <c r="E427" s="42"/>
      <c r="F427" s="42"/>
      <c r="G427" s="42" t="s">
        <v>733</v>
      </c>
      <c r="H427" s="42" t="s">
        <v>1411</v>
      </c>
      <c r="I427" s="224"/>
      <c r="J427" s="346" t="s">
        <v>49</v>
      </c>
      <c r="K427" s="42" t="s">
        <v>160</v>
      </c>
      <c r="L427" s="42"/>
      <c r="M427" s="42"/>
      <c r="N427" s="42"/>
      <c r="O427" s="38" t="s">
        <v>1495</v>
      </c>
      <c r="P427" s="48"/>
      <c r="Q427" s="832"/>
      <c r="R427" s="807"/>
      <c r="S427" s="42"/>
      <c r="T427" s="42"/>
      <c r="U427" s="42"/>
      <c r="V427" s="42"/>
      <c r="W427" s="162"/>
    </row>
    <row r="428" spans="2:24" ht="256" thickBot="1" x14ac:dyDescent="0.25">
      <c r="B428" s="124"/>
      <c r="C428" s="157" t="s">
        <v>1490</v>
      </c>
      <c r="D428" s="42" t="s">
        <v>738</v>
      </c>
      <c r="E428" s="646" t="s">
        <v>2131</v>
      </c>
      <c r="F428" s="41" t="s">
        <v>2129</v>
      </c>
      <c r="G428" s="42"/>
      <c r="H428" s="41" t="s">
        <v>2136</v>
      </c>
      <c r="I428" s="42"/>
      <c r="J428" s="42" t="s">
        <v>160</v>
      </c>
      <c r="K428" s="42" t="s">
        <v>160</v>
      </c>
      <c r="L428" s="650" t="s">
        <v>2149</v>
      </c>
      <c r="M428" s="42"/>
      <c r="N428" s="42"/>
      <c r="O428" s="42" t="s">
        <v>2130</v>
      </c>
      <c r="P428" s="42"/>
      <c r="Q428" s="832"/>
      <c r="R428" s="807"/>
      <c r="S428" s="42"/>
      <c r="T428" s="42"/>
      <c r="U428" s="42"/>
      <c r="V428" s="42"/>
      <c r="W428" s="162"/>
    </row>
    <row r="429" spans="2:24" ht="16" customHeight="1" thickBot="1" x14ac:dyDescent="0.25">
      <c r="C429" s="159"/>
      <c r="D429" s="164"/>
      <c r="E429" s="164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833"/>
      <c r="R429" s="808"/>
      <c r="S429" s="128"/>
      <c r="T429" s="128"/>
      <c r="U429" s="128"/>
      <c r="V429" s="128"/>
      <c r="W429" s="163"/>
    </row>
    <row r="430" spans="2:24" ht="16" customHeight="1" thickBot="1" x14ac:dyDescent="0.25"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20"/>
      <c r="R430" s="176"/>
      <c r="S430" s="44"/>
      <c r="T430" s="44"/>
      <c r="U430" s="44"/>
      <c r="V430" s="44"/>
      <c r="W430" s="44"/>
      <c r="X430" s="44"/>
    </row>
    <row r="431" spans="2:24" ht="16" customHeight="1" x14ac:dyDescent="0.2">
      <c r="C431" s="155" t="s">
        <v>1880</v>
      </c>
      <c r="D431" s="127" t="s">
        <v>1407</v>
      </c>
      <c r="E431" s="127"/>
      <c r="F431" s="127"/>
      <c r="G431" s="127" t="s">
        <v>732</v>
      </c>
      <c r="H431" s="127" t="s">
        <v>1722</v>
      </c>
      <c r="I431" s="127"/>
      <c r="J431" s="347" t="s">
        <v>49</v>
      </c>
      <c r="K431" s="127"/>
      <c r="L431" s="127"/>
      <c r="M431" s="127"/>
      <c r="N431" s="127"/>
      <c r="O431" s="127" t="s">
        <v>1865</v>
      </c>
      <c r="P431" s="818">
        <v>542082741</v>
      </c>
      <c r="Q431" s="787" t="s">
        <v>1866</v>
      </c>
      <c r="R431" s="801" t="s">
        <v>114</v>
      </c>
      <c r="S431" s="127"/>
      <c r="T431" s="127"/>
      <c r="U431" s="42"/>
      <c r="V431" s="42"/>
      <c r="W431" s="162"/>
    </row>
    <row r="432" spans="2:24" ht="16" customHeight="1" x14ac:dyDescent="0.2">
      <c r="C432" s="157" t="s">
        <v>1880</v>
      </c>
      <c r="D432" s="42" t="s">
        <v>589</v>
      </c>
      <c r="E432" s="42"/>
      <c r="F432" s="42"/>
      <c r="G432" s="42" t="s">
        <v>733</v>
      </c>
      <c r="H432" s="42" t="s">
        <v>1723</v>
      </c>
      <c r="I432" s="42"/>
      <c r="J432" s="42"/>
      <c r="K432" s="42" t="s">
        <v>160</v>
      </c>
      <c r="L432" s="42"/>
      <c r="M432" s="42"/>
      <c r="N432" s="42"/>
      <c r="O432" s="38" t="s">
        <v>1867</v>
      </c>
      <c r="P432" s="813"/>
      <c r="Q432" s="769"/>
      <c r="R432" s="802"/>
      <c r="S432" s="42"/>
      <c r="T432" s="42"/>
      <c r="U432" s="42"/>
      <c r="V432" s="42"/>
      <c r="W432" s="162"/>
    </row>
    <row r="433" spans="2:23" ht="16" customHeight="1" thickBot="1" x14ac:dyDescent="0.25">
      <c r="C433" s="157" t="s">
        <v>1879</v>
      </c>
      <c r="D433" s="42" t="s">
        <v>1408</v>
      </c>
      <c r="E433" s="42"/>
      <c r="F433" s="42"/>
      <c r="G433" s="42" t="s">
        <v>733</v>
      </c>
      <c r="H433" s="42" t="s">
        <v>1409</v>
      </c>
      <c r="I433" s="42"/>
      <c r="J433" s="346" t="s">
        <v>49</v>
      </c>
      <c r="K433" s="129" t="s">
        <v>452</v>
      </c>
      <c r="L433" s="42"/>
      <c r="M433" s="42"/>
      <c r="N433" s="42"/>
      <c r="O433" s="42" t="s">
        <v>2094</v>
      </c>
      <c r="P433" s="813"/>
      <c r="Q433" s="769"/>
      <c r="R433" s="802"/>
      <c r="S433" s="42"/>
      <c r="T433" s="42"/>
      <c r="U433" s="128"/>
      <c r="V433" s="128"/>
      <c r="W433" s="163"/>
    </row>
    <row r="434" spans="2:23" ht="84" customHeight="1" thickBot="1" x14ac:dyDescent="0.25">
      <c r="B434" s="652"/>
      <c r="C434" s="159" t="s">
        <v>2095</v>
      </c>
      <c r="D434" s="128" t="s">
        <v>1863</v>
      </c>
      <c r="E434" s="648" t="s">
        <v>2119</v>
      </c>
      <c r="F434" s="363" t="s">
        <v>2154</v>
      </c>
      <c r="G434" s="363"/>
      <c r="H434" s="363" t="s">
        <v>2137</v>
      </c>
      <c r="I434" s="128"/>
      <c r="J434" s="128" t="s">
        <v>160</v>
      </c>
      <c r="K434" s="363" t="s">
        <v>2093</v>
      </c>
      <c r="L434" s="650" t="s">
        <v>2155</v>
      </c>
      <c r="M434" s="128"/>
      <c r="N434" s="128"/>
      <c r="O434" s="128" t="s">
        <v>2118</v>
      </c>
      <c r="P434" s="819"/>
      <c r="Q434" s="788"/>
      <c r="R434" s="803"/>
      <c r="S434" s="128"/>
      <c r="T434" s="128"/>
      <c r="U434" s="128"/>
      <c r="V434" s="128"/>
      <c r="W434" s="163"/>
    </row>
    <row r="435" spans="2:23" ht="16" customHeight="1" thickBot="1" x14ac:dyDescent="0.25">
      <c r="C435" s="47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4"/>
      <c r="P435" s="40"/>
      <c r="Q435" s="40"/>
      <c r="R435" s="40"/>
      <c r="S435" s="40"/>
      <c r="T435" s="40"/>
      <c r="U435" s="40"/>
      <c r="V435" s="40"/>
      <c r="W435" s="40"/>
    </row>
    <row r="436" spans="2:23" ht="15.5" customHeight="1" x14ac:dyDescent="0.2">
      <c r="C436" s="155" t="s">
        <v>1429</v>
      </c>
      <c r="D436" s="127" t="s">
        <v>1419</v>
      </c>
      <c r="E436" s="127"/>
      <c r="F436" s="127"/>
      <c r="G436" s="127"/>
      <c r="H436" s="127" t="s">
        <v>1421</v>
      </c>
      <c r="I436" s="127"/>
      <c r="J436" s="127" t="s">
        <v>160</v>
      </c>
      <c r="K436" s="129" t="s">
        <v>452</v>
      </c>
      <c r="L436" s="649"/>
      <c r="M436" s="127"/>
      <c r="N436" s="127"/>
      <c r="O436" s="127" t="s">
        <v>190</v>
      </c>
      <c r="P436" s="795">
        <v>542082180</v>
      </c>
      <c r="Q436" s="831" t="s">
        <v>1417</v>
      </c>
      <c r="R436" s="806" t="s">
        <v>114</v>
      </c>
      <c r="S436" s="127"/>
      <c r="T436" s="127"/>
      <c r="U436" s="127"/>
      <c r="V436" s="127"/>
      <c r="W436" s="161"/>
    </row>
    <row r="437" spans="2:23" ht="16" customHeight="1" x14ac:dyDescent="0.2">
      <c r="C437" s="157" t="s">
        <v>1431</v>
      </c>
      <c r="D437" s="42" t="s">
        <v>1425</v>
      </c>
      <c r="E437" s="42"/>
      <c r="F437" s="42"/>
      <c r="G437" s="42"/>
      <c r="H437" s="42" t="s">
        <v>1479</v>
      </c>
      <c r="I437" s="42" t="s">
        <v>1478</v>
      </c>
      <c r="J437" s="42" t="s">
        <v>160</v>
      </c>
      <c r="K437" s="42" t="s">
        <v>1551</v>
      </c>
      <c r="L437" s="42"/>
      <c r="M437" s="42"/>
      <c r="N437" s="42" t="s">
        <v>1428</v>
      </c>
      <c r="O437" s="38" t="s">
        <v>1420</v>
      </c>
      <c r="P437" s="804"/>
      <c r="Q437" s="832"/>
      <c r="R437" s="807"/>
      <c r="S437" s="42"/>
      <c r="T437" s="42"/>
      <c r="U437" s="42"/>
      <c r="V437" s="42"/>
      <c r="W437" s="162"/>
    </row>
    <row r="438" spans="2:23" ht="16" customHeight="1" x14ac:dyDescent="0.2">
      <c r="C438" s="157" t="s">
        <v>1430</v>
      </c>
      <c r="D438" s="42" t="s">
        <v>1418</v>
      </c>
      <c r="E438" s="42"/>
      <c r="F438" s="42"/>
      <c r="G438" s="42"/>
      <c r="H438" s="42" t="s">
        <v>1421</v>
      </c>
      <c r="I438" s="42"/>
      <c r="J438" s="42" t="s">
        <v>160</v>
      </c>
      <c r="K438" s="129" t="s">
        <v>452</v>
      </c>
      <c r="L438" s="5"/>
      <c r="M438" s="42"/>
      <c r="N438" s="42"/>
      <c r="O438" s="42" t="s">
        <v>223</v>
      </c>
      <c r="P438" s="804"/>
      <c r="Q438" s="832"/>
      <c r="R438" s="807"/>
      <c r="S438" s="42"/>
      <c r="T438" s="42"/>
      <c r="U438" s="42"/>
      <c r="V438" s="42"/>
      <c r="W438" s="162"/>
    </row>
    <row r="439" spans="2:23" ht="16" customHeight="1" thickBot="1" x14ac:dyDescent="0.25">
      <c r="C439" s="159"/>
      <c r="D439" s="164"/>
      <c r="E439" s="164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805"/>
      <c r="Q439" s="833"/>
      <c r="R439" s="808"/>
      <c r="S439" s="128"/>
      <c r="T439" s="128"/>
      <c r="U439" s="128"/>
      <c r="V439" s="128"/>
      <c r="W439" s="163"/>
    </row>
    <row r="440" spans="2:23" ht="16" customHeight="1" thickBot="1" x14ac:dyDescent="0.25">
      <c r="C440" s="44"/>
      <c r="D440" s="174"/>
      <c r="E440" s="17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20"/>
      <c r="R440" s="176"/>
      <c r="S440" s="44"/>
      <c r="T440" s="44"/>
      <c r="U440" s="44"/>
      <c r="V440" s="44"/>
      <c r="W440" s="44"/>
    </row>
    <row r="441" spans="2:23" ht="16" customHeight="1" x14ac:dyDescent="0.2">
      <c r="C441" s="155" t="s">
        <v>1629</v>
      </c>
      <c r="D441" s="127" t="s">
        <v>1548</v>
      </c>
      <c r="E441" s="127"/>
      <c r="F441" s="127"/>
      <c r="G441" s="127"/>
      <c r="H441" s="127"/>
      <c r="I441" s="127" t="s">
        <v>1626</v>
      </c>
      <c r="J441" s="127" t="s">
        <v>160</v>
      </c>
      <c r="K441" s="127"/>
      <c r="L441" s="127"/>
      <c r="M441" s="127"/>
      <c r="N441" s="127"/>
      <c r="O441" s="127" t="s">
        <v>206</v>
      </c>
      <c r="P441" s="795"/>
      <c r="Q441" s="831" t="s">
        <v>1553</v>
      </c>
      <c r="R441" s="806" t="s">
        <v>114</v>
      </c>
      <c r="S441" s="127"/>
      <c r="T441" s="127"/>
      <c r="U441" s="127"/>
      <c r="V441" s="127"/>
      <c r="W441" s="161"/>
    </row>
    <row r="442" spans="2:23" ht="16" customHeight="1" x14ac:dyDescent="0.2">
      <c r="C442" s="157" t="s">
        <v>1630</v>
      </c>
      <c r="D442" s="42" t="s">
        <v>1549</v>
      </c>
      <c r="E442" s="42"/>
      <c r="F442" s="42"/>
      <c r="G442" s="42"/>
      <c r="H442" s="42"/>
      <c r="I442" s="42" t="s">
        <v>1627</v>
      </c>
      <c r="J442" s="42" t="s">
        <v>160</v>
      </c>
      <c r="K442" s="5"/>
      <c r="L442" s="5"/>
      <c r="M442" s="42"/>
      <c r="N442" s="42"/>
      <c r="O442" s="42" t="s">
        <v>208</v>
      </c>
      <c r="P442" s="804"/>
      <c r="Q442" s="832"/>
      <c r="R442" s="807"/>
      <c r="S442" s="42"/>
      <c r="T442" s="42"/>
      <c r="U442" s="42"/>
      <c r="V442" s="42"/>
      <c r="W442" s="162"/>
    </row>
    <row r="443" spans="2:23" ht="16" customHeight="1" x14ac:dyDescent="0.2">
      <c r="C443" s="157" t="s">
        <v>1625</v>
      </c>
      <c r="D443" s="44" t="s">
        <v>1550</v>
      </c>
      <c r="E443" s="44"/>
      <c r="F443" s="42"/>
      <c r="G443" s="42"/>
      <c r="H443" s="42"/>
      <c r="I443" s="42" t="s">
        <v>1628</v>
      </c>
      <c r="J443" s="42" t="s">
        <v>160</v>
      </c>
      <c r="K443" s="42"/>
      <c r="L443" s="42"/>
      <c r="M443" s="42"/>
      <c r="N443" s="42" t="s">
        <v>1098</v>
      </c>
      <c r="O443" s="42" t="s">
        <v>1594</v>
      </c>
      <c r="P443" s="804"/>
      <c r="Q443" s="832"/>
      <c r="R443" s="807"/>
      <c r="S443" s="42"/>
      <c r="T443" s="42"/>
      <c r="U443" s="42"/>
      <c r="V443" s="42"/>
      <c r="W443" s="162"/>
    </row>
    <row r="444" spans="2:23" ht="16" customHeight="1" thickBot="1" x14ac:dyDescent="0.25">
      <c r="C444" s="159"/>
      <c r="D444" s="128" t="s">
        <v>2032</v>
      </c>
      <c r="E444" s="128"/>
      <c r="F444" s="128"/>
      <c r="G444" s="128"/>
      <c r="H444" s="128" t="s">
        <v>1813</v>
      </c>
      <c r="I444" s="128" t="s">
        <v>1812</v>
      </c>
      <c r="J444" s="164" t="s">
        <v>2033</v>
      </c>
      <c r="K444" s="128"/>
      <c r="L444" s="128"/>
      <c r="M444" s="128"/>
      <c r="N444" s="128"/>
      <c r="O444" s="128" t="s">
        <v>2034</v>
      </c>
      <c r="P444" s="805"/>
      <c r="Q444" s="833"/>
      <c r="R444" s="808"/>
      <c r="S444" s="128"/>
      <c r="T444" s="128"/>
      <c r="U444" s="40"/>
      <c r="V444" s="40"/>
      <c r="W444" s="40"/>
    </row>
    <row r="445" spans="2:23" ht="16" customHeight="1" thickBot="1" x14ac:dyDescent="0.25">
      <c r="C445" s="47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4"/>
      <c r="P445" s="40"/>
      <c r="Q445" s="40"/>
      <c r="R445" s="40"/>
      <c r="S445" s="40"/>
      <c r="T445" s="40"/>
      <c r="U445" s="127"/>
      <c r="V445" s="127"/>
      <c r="W445" s="161"/>
    </row>
    <row r="446" spans="2:23" ht="16" customHeight="1" x14ac:dyDescent="0.2">
      <c r="C446" s="155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795"/>
      <c r="Q446" s="831" t="s">
        <v>1554</v>
      </c>
      <c r="R446" s="806" t="s">
        <v>114</v>
      </c>
      <c r="S446" s="127"/>
      <c r="T446" s="127"/>
      <c r="U446" s="127"/>
      <c r="V446" s="127"/>
      <c r="W446" s="161"/>
    </row>
    <row r="447" spans="2:23" ht="16" customHeight="1" x14ac:dyDescent="0.2">
      <c r="C447" s="157"/>
      <c r="D447" s="42"/>
      <c r="E447" s="42"/>
      <c r="F447" s="42"/>
      <c r="G447" s="42"/>
      <c r="H447" s="42"/>
      <c r="I447" s="42"/>
      <c r="J447" s="42"/>
      <c r="K447" s="5"/>
      <c r="L447" s="5"/>
      <c r="M447" s="42"/>
      <c r="N447" s="42"/>
      <c r="O447" s="42"/>
      <c r="P447" s="804"/>
      <c r="Q447" s="832"/>
      <c r="R447" s="807"/>
      <c r="S447" s="42"/>
      <c r="T447" s="42"/>
      <c r="U447" s="42"/>
      <c r="V447" s="42"/>
      <c r="W447" s="162"/>
    </row>
    <row r="448" spans="2:23" ht="16" customHeight="1" x14ac:dyDescent="0.2">
      <c r="C448" s="157"/>
      <c r="D448" s="44"/>
      <c r="E448" s="44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804"/>
      <c r="Q448" s="832"/>
      <c r="R448" s="807"/>
      <c r="S448" s="42"/>
      <c r="T448" s="42"/>
      <c r="U448" s="42"/>
      <c r="V448" s="42"/>
      <c r="W448" s="162"/>
    </row>
    <row r="449" spans="2:23" ht="16" customHeight="1" thickBot="1" x14ac:dyDescent="0.25">
      <c r="C449" s="159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42"/>
      <c r="O449" s="128"/>
      <c r="P449" s="805"/>
      <c r="Q449" s="833"/>
      <c r="R449" s="808"/>
      <c r="S449" s="128"/>
      <c r="T449" s="128"/>
      <c r="U449" s="128"/>
      <c r="V449" s="128"/>
      <c r="W449" s="163"/>
    </row>
    <row r="450" spans="2:23" ht="16" customHeight="1" thickBot="1" x14ac:dyDescent="0.25"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20"/>
      <c r="R450" s="176"/>
      <c r="S450" s="44"/>
      <c r="T450" s="44"/>
      <c r="U450" s="44"/>
      <c r="V450" s="44"/>
      <c r="W450" s="44"/>
    </row>
    <row r="451" spans="2:23" ht="35" customHeight="1" x14ac:dyDescent="0.2">
      <c r="B451" s="631" t="s">
        <v>2074</v>
      </c>
      <c r="C451" s="360" t="s">
        <v>1648</v>
      </c>
      <c r="D451" s="127" t="s">
        <v>1639</v>
      </c>
      <c r="E451" s="127"/>
      <c r="F451" s="127"/>
      <c r="G451" s="127"/>
      <c r="H451" s="127"/>
      <c r="I451" s="127"/>
      <c r="J451" s="127" t="s">
        <v>160</v>
      </c>
      <c r="K451" s="129" t="s">
        <v>452</v>
      </c>
      <c r="L451" s="185"/>
      <c r="M451" s="127"/>
      <c r="N451" s="127"/>
      <c r="O451" s="127" t="s">
        <v>231</v>
      </c>
      <c r="P451" s="795"/>
      <c r="Q451" s="831" t="s">
        <v>1638</v>
      </c>
      <c r="R451" s="806" t="s">
        <v>114</v>
      </c>
      <c r="S451" s="127"/>
      <c r="T451" s="127"/>
      <c r="U451" s="127"/>
      <c r="V451" s="127"/>
      <c r="W451" s="161"/>
    </row>
    <row r="452" spans="2:23" ht="16" customHeight="1" x14ac:dyDescent="0.2">
      <c r="C452" s="157"/>
      <c r="D452" s="42" t="s">
        <v>1640</v>
      </c>
      <c r="E452" s="42"/>
      <c r="F452" s="42"/>
      <c r="G452" s="42"/>
      <c r="H452" s="42"/>
      <c r="I452" s="42"/>
      <c r="J452" s="42" t="s">
        <v>160</v>
      </c>
      <c r="K452" s="129" t="s">
        <v>452</v>
      </c>
      <c r="L452" s="5"/>
      <c r="M452" s="42"/>
      <c r="N452" s="42"/>
      <c r="O452" s="42" t="s">
        <v>1643</v>
      </c>
      <c r="P452" s="804"/>
      <c r="Q452" s="832"/>
      <c r="R452" s="807"/>
      <c r="S452" s="42"/>
      <c r="T452" s="42"/>
      <c r="U452" s="42"/>
      <c r="V452" s="42"/>
      <c r="W452" s="162"/>
    </row>
    <row r="453" spans="2:23" ht="16" customHeight="1" x14ac:dyDescent="0.2">
      <c r="C453" s="157"/>
      <c r="D453" s="42" t="s">
        <v>1641</v>
      </c>
      <c r="E453" s="42"/>
      <c r="F453" s="42"/>
      <c r="G453" s="42"/>
      <c r="H453" s="42"/>
      <c r="I453" s="42"/>
      <c r="J453" s="42" t="s">
        <v>160</v>
      </c>
      <c r="K453" s="42"/>
      <c r="L453" s="42"/>
      <c r="M453" s="42"/>
      <c r="N453" s="42" t="s">
        <v>1098</v>
      </c>
      <c r="O453" s="42" t="s">
        <v>1594</v>
      </c>
      <c r="P453" s="804"/>
      <c r="Q453" s="832"/>
      <c r="R453" s="807"/>
      <c r="S453" s="42"/>
      <c r="T453" s="42"/>
      <c r="U453" s="42"/>
      <c r="V453" s="42"/>
      <c r="W453" s="162"/>
    </row>
    <row r="454" spans="2:23" ht="16" customHeight="1" thickBot="1" x14ac:dyDescent="0.25">
      <c r="C454" s="159" t="s">
        <v>1646</v>
      </c>
      <c r="D454" s="128" t="s">
        <v>1642</v>
      </c>
      <c r="E454" s="128"/>
      <c r="F454" s="128"/>
      <c r="G454" s="128"/>
      <c r="H454" s="128"/>
      <c r="I454" s="128"/>
      <c r="J454" s="128" t="s">
        <v>160</v>
      </c>
      <c r="K454" s="128"/>
      <c r="L454" s="128"/>
      <c r="M454" s="128"/>
      <c r="N454" s="128" t="s">
        <v>1647</v>
      </c>
      <c r="O454" s="128" t="s">
        <v>1595</v>
      </c>
      <c r="P454" s="805"/>
      <c r="Q454" s="833"/>
      <c r="R454" s="808"/>
      <c r="S454" s="128"/>
      <c r="T454" s="128"/>
      <c r="U454" s="128"/>
      <c r="V454" s="128"/>
      <c r="W454" s="163"/>
    </row>
    <row r="455" spans="2:23" ht="16" customHeight="1" thickBot="1" x14ac:dyDescent="0.25">
      <c r="C455" s="44"/>
      <c r="D455" s="174"/>
      <c r="E455" s="17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20"/>
      <c r="R455" s="176"/>
      <c r="S455" s="44"/>
      <c r="T455" s="44"/>
      <c r="U455" s="44"/>
      <c r="V455" s="44"/>
      <c r="W455" s="44"/>
    </row>
    <row r="456" spans="2:23" s="44" customFormat="1" ht="17" thickBot="1" x14ac:dyDescent="0.25">
      <c r="C456" s="155"/>
      <c r="D456" s="127" t="s">
        <v>883</v>
      </c>
      <c r="E456" s="127"/>
      <c r="F456" s="127"/>
      <c r="G456" s="127"/>
      <c r="H456" s="127" t="s">
        <v>946</v>
      </c>
      <c r="I456" s="127"/>
      <c r="J456" s="127" t="s">
        <v>160</v>
      </c>
      <c r="K456" s="127"/>
      <c r="L456" s="127"/>
      <c r="M456" s="127"/>
      <c r="N456" s="127"/>
      <c r="O456" s="127" t="s">
        <v>779</v>
      </c>
      <c r="P456" s="223"/>
      <c r="Q456" s="831" t="s">
        <v>882</v>
      </c>
      <c r="R456" s="816" t="s">
        <v>114</v>
      </c>
      <c r="S456" s="127"/>
      <c r="T456" s="127"/>
      <c r="U456" s="127"/>
      <c r="V456" s="127"/>
      <c r="W456" s="161"/>
    </row>
    <row r="457" spans="2:23" s="44" customFormat="1" ht="18" thickBot="1" x14ac:dyDescent="0.25">
      <c r="C457" s="157"/>
      <c r="D457" s="42" t="s">
        <v>884</v>
      </c>
      <c r="E457" s="42"/>
      <c r="F457" s="42"/>
      <c r="G457" s="42"/>
      <c r="H457" s="127" t="s">
        <v>946</v>
      </c>
      <c r="I457" s="42"/>
      <c r="J457" s="42" t="s">
        <v>160</v>
      </c>
      <c r="K457" s="42"/>
      <c r="L457" s="42"/>
      <c r="M457" s="42"/>
      <c r="N457" s="224"/>
      <c r="O457" s="38" t="s">
        <v>780</v>
      </c>
      <c r="P457" s="48"/>
      <c r="Q457" s="832"/>
      <c r="R457" s="807"/>
      <c r="S457" s="42"/>
      <c r="T457" s="42"/>
      <c r="U457" s="42"/>
      <c r="V457" s="42"/>
      <c r="W457" s="162"/>
    </row>
    <row r="458" spans="2:23" s="44" customFormat="1" x14ac:dyDescent="0.2">
      <c r="C458" s="157"/>
      <c r="D458" s="42" t="s">
        <v>885</v>
      </c>
      <c r="E458" s="42"/>
      <c r="F458" s="42"/>
      <c r="G458" s="42"/>
      <c r="H458" s="127" t="s">
        <v>927</v>
      </c>
      <c r="I458" s="42"/>
      <c r="J458" s="42" t="s">
        <v>160</v>
      </c>
      <c r="K458" s="42" t="s">
        <v>160</v>
      </c>
      <c r="L458" s="42"/>
      <c r="M458" s="42"/>
      <c r="N458" s="224"/>
      <c r="O458" s="42" t="s">
        <v>868</v>
      </c>
      <c r="P458" s="42"/>
      <c r="Q458" s="881"/>
      <c r="R458" s="817"/>
      <c r="S458" s="42"/>
      <c r="T458" s="42"/>
      <c r="U458" s="42"/>
      <c r="V458" s="42"/>
      <c r="W458" s="162"/>
    </row>
    <row r="459" spans="2:23" s="44" customFormat="1" ht="18" thickBot="1" x14ac:dyDescent="0.25">
      <c r="C459" s="159"/>
      <c r="D459" s="164" t="s">
        <v>886</v>
      </c>
      <c r="E459" s="164"/>
      <c r="F459" s="128"/>
      <c r="G459" s="128"/>
      <c r="H459" s="128"/>
      <c r="I459" s="128"/>
      <c r="J459" s="128" t="s">
        <v>160</v>
      </c>
      <c r="K459" s="128" t="s">
        <v>160</v>
      </c>
      <c r="L459" s="128"/>
      <c r="M459" s="128"/>
      <c r="N459" s="128"/>
      <c r="O459" s="128" t="s">
        <v>945</v>
      </c>
      <c r="P459" s="128"/>
      <c r="Q459" s="123" t="s">
        <v>447</v>
      </c>
      <c r="R459" s="177" t="s">
        <v>447</v>
      </c>
      <c r="S459" s="128"/>
      <c r="T459" s="128"/>
      <c r="U459" s="128"/>
      <c r="V459" s="128"/>
      <c r="W459" s="163"/>
    </row>
    <row r="460" spans="2:23" s="44" customFormat="1" ht="17" thickBot="1" x14ac:dyDescent="0.25">
      <c r="D460" s="174"/>
      <c r="E460" s="174"/>
      <c r="Q460" s="20"/>
    </row>
    <row r="461" spans="2:23" s="44" customFormat="1" x14ac:dyDescent="0.2">
      <c r="C461" s="155"/>
      <c r="D461" s="127" t="s">
        <v>870</v>
      </c>
      <c r="E461" s="127"/>
      <c r="F461" s="127"/>
      <c r="G461" s="127"/>
      <c r="H461" s="127" t="s">
        <v>925</v>
      </c>
      <c r="I461" s="127"/>
      <c r="J461" s="127" t="s">
        <v>160</v>
      </c>
      <c r="K461" s="127"/>
      <c r="L461" s="127"/>
      <c r="M461" s="127"/>
      <c r="N461" s="224"/>
      <c r="O461" s="42" t="s">
        <v>775</v>
      </c>
      <c r="P461" s="223"/>
      <c r="Q461" s="831" t="s">
        <v>881</v>
      </c>
      <c r="R461" s="806" t="s">
        <v>114</v>
      </c>
      <c r="S461" s="127"/>
      <c r="T461" s="127"/>
      <c r="U461" s="127"/>
      <c r="V461" s="127"/>
      <c r="W461" s="161"/>
    </row>
    <row r="462" spans="2:23" s="44" customFormat="1" ht="17" x14ac:dyDescent="0.2">
      <c r="C462" s="157"/>
      <c r="D462" s="42" t="s">
        <v>871</v>
      </c>
      <c r="E462" s="42"/>
      <c r="F462" s="42"/>
      <c r="G462" s="42"/>
      <c r="H462" s="42" t="s">
        <v>926</v>
      </c>
      <c r="I462" s="42"/>
      <c r="J462" s="42" t="s">
        <v>160</v>
      </c>
      <c r="K462" s="42"/>
      <c r="L462" s="42"/>
      <c r="M462" s="42"/>
      <c r="N462" s="42"/>
      <c r="O462" s="38" t="s">
        <v>933</v>
      </c>
      <c r="P462" s="48"/>
      <c r="Q462" s="832"/>
      <c r="R462" s="807"/>
      <c r="S462" s="42"/>
      <c r="T462" s="42"/>
      <c r="U462" s="42"/>
      <c r="V462" s="42"/>
      <c r="W462" s="162"/>
    </row>
    <row r="463" spans="2:23" s="44" customFormat="1" ht="34" x14ac:dyDescent="0.2">
      <c r="C463" s="157"/>
      <c r="D463" s="42" t="s">
        <v>872</v>
      </c>
      <c r="E463" s="42"/>
      <c r="F463" s="42"/>
      <c r="G463" s="42"/>
      <c r="H463" s="42" t="s">
        <v>947</v>
      </c>
      <c r="I463" s="42"/>
      <c r="J463" s="42" t="s">
        <v>160</v>
      </c>
      <c r="K463" s="42" t="s">
        <v>160</v>
      </c>
      <c r="L463" s="42"/>
      <c r="M463" s="42"/>
      <c r="N463" s="42"/>
      <c r="O463" s="38" t="s">
        <v>932</v>
      </c>
      <c r="P463" s="42"/>
      <c r="Q463" s="832"/>
      <c r="R463" s="807"/>
      <c r="S463" s="42"/>
      <c r="T463" s="42"/>
      <c r="U463" s="42"/>
      <c r="V463" s="42"/>
      <c r="W463" s="162"/>
    </row>
    <row r="464" spans="2:23" s="44" customFormat="1" ht="17" thickBot="1" x14ac:dyDescent="0.25">
      <c r="C464" s="159"/>
      <c r="D464" s="128"/>
      <c r="E464" s="128"/>
      <c r="F464" s="128"/>
      <c r="G464" s="128"/>
      <c r="H464" s="128" t="s">
        <v>948</v>
      </c>
      <c r="I464" s="128"/>
      <c r="J464" s="128"/>
      <c r="K464" s="128"/>
      <c r="L464" s="128"/>
      <c r="M464" s="128"/>
      <c r="N464" s="128"/>
      <c r="O464" s="128"/>
      <c r="P464" s="128"/>
      <c r="Q464" s="833"/>
      <c r="R464" s="808"/>
      <c r="S464" s="128"/>
      <c r="T464" s="128"/>
      <c r="U464" s="128"/>
      <c r="V464" s="128"/>
      <c r="W464" s="163"/>
    </row>
    <row r="465" spans="3:24" s="44" customFormat="1" ht="17" thickBot="1" x14ac:dyDescent="0.25">
      <c r="D465" s="174"/>
      <c r="E465" s="174"/>
      <c r="Q465" s="20"/>
    </row>
    <row r="466" spans="3:24" s="44" customFormat="1" x14ac:dyDescent="0.2">
      <c r="C466" s="155"/>
      <c r="D466" s="127" t="s">
        <v>864</v>
      </c>
      <c r="E466" s="127"/>
      <c r="F466" s="127"/>
      <c r="G466" s="127"/>
      <c r="H466" s="127"/>
      <c r="I466" s="127"/>
      <c r="J466" s="127" t="s">
        <v>160</v>
      </c>
      <c r="K466" s="127"/>
      <c r="L466" s="127"/>
      <c r="M466" s="127"/>
      <c r="N466" s="127"/>
      <c r="O466" s="127" t="s">
        <v>901</v>
      </c>
      <c r="P466" s="223"/>
      <c r="Q466" s="831" t="s">
        <v>869</v>
      </c>
      <c r="R466" s="816" t="s">
        <v>114</v>
      </c>
      <c r="S466" s="127"/>
      <c r="T466" s="127"/>
      <c r="U466" s="127"/>
      <c r="V466" s="127"/>
      <c r="W466" s="161"/>
    </row>
    <row r="467" spans="3:24" s="44" customFormat="1" ht="17" x14ac:dyDescent="0.2">
      <c r="C467" s="157"/>
      <c r="D467" s="42" t="s">
        <v>865</v>
      </c>
      <c r="E467" s="42"/>
      <c r="F467" s="42"/>
      <c r="G467" s="42"/>
      <c r="H467" s="42"/>
      <c r="I467" s="42"/>
      <c r="J467" s="42" t="s">
        <v>160</v>
      </c>
      <c r="K467" s="42"/>
      <c r="L467" s="42"/>
      <c r="M467" s="42"/>
      <c r="N467" s="42"/>
      <c r="O467" s="38" t="s">
        <v>891</v>
      </c>
      <c r="P467" s="48"/>
      <c r="Q467" s="832"/>
      <c r="R467" s="807"/>
      <c r="S467" s="42"/>
      <c r="T467" s="42"/>
      <c r="U467" s="42"/>
      <c r="V467" s="42"/>
      <c r="W467" s="162"/>
      <c r="X467" s="40"/>
    </row>
    <row r="468" spans="3:24" s="40" customFormat="1" x14ac:dyDescent="0.2">
      <c r="C468" s="157"/>
      <c r="D468" s="42" t="s">
        <v>866</v>
      </c>
      <c r="E468" s="42"/>
      <c r="F468" s="42"/>
      <c r="G468" s="42"/>
      <c r="H468" s="42"/>
      <c r="I468" s="42"/>
      <c r="J468" s="42" t="s">
        <v>160</v>
      </c>
      <c r="K468" s="42" t="s">
        <v>160</v>
      </c>
      <c r="L468" s="42"/>
      <c r="M468" s="42"/>
      <c r="N468" s="42"/>
      <c r="O468" s="42" t="s">
        <v>868</v>
      </c>
      <c r="P468" s="42"/>
      <c r="Q468" s="881"/>
      <c r="R468" s="817"/>
      <c r="S468" s="42"/>
      <c r="T468" s="42"/>
      <c r="U468" s="42"/>
      <c r="V468" s="42"/>
      <c r="W468" s="162"/>
      <c r="X468" s="44"/>
    </row>
    <row r="469" spans="3:24" s="44" customFormat="1" ht="18" thickBot="1" x14ac:dyDescent="0.25">
      <c r="C469" s="159"/>
      <c r="D469" s="164" t="s">
        <v>867</v>
      </c>
      <c r="E469" s="164"/>
      <c r="F469" s="128"/>
      <c r="G469" s="128"/>
      <c r="H469" s="128"/>
      <c r="I469" s="128"/>
      <c r="J469" s="128" t="s">
        <v>160</v>
      </c>
      <c r="K469" s="128" t="s">
        <v>160</v>
      </c>
      <c r="L469" s="128"/>
      <c r="M469" s="128" t="s">
        <v>912</v>
      </c>
      <c r="N469" s="128"/>
      <c r="O469" s="128" t="s">
        <v>902</v>
      </c>
      <c r="P469" s="128"/>
      <c r="Q469" s="123" t="s">
        <v>447</v>
      </c>
      <c r="R469" s="177" t="s">
        <v>447</v>
      </c>
      <c r="S469" s="128"/>
      <c r="T469" s="128"/>
      <c r="U469" s="128"/>
      <c r="V469" s="128"/>
      <c r="W469" s="163"/>
    </row>
    <row r="470" spans="3:24" s="44" customFormat="1" ht="17" thickBot="1" x14ac:dyDescent="0.25">
      <c r="D470" s="174"/>
      <c r="E470" s="174"/>
      <c r="Q470" s="20"/>
    </row>
    <row r="471" spans="3:24" s="44" customFormat="1" x14ac:dyDescent="0.2">
      <c r="C471" s="155"/>
      <c r="D471" s="127" t="s">
        <v>862</v>
      </c>
      <c r="E471" s="127"/>
      <c r="F471" s="127"/>
      <c r="G471" s="127"/>
      <c r="H471" s="127"/>
      <c r="I471" s="127"/>
      <c r="J471" s="127" t="s">
        <v>160</v>
      </c>
      <c r="K471" s="127"/>
      <c r="L471" s="127"/>
      <c r="M471" s="127"/>
      <c r="N471" s="127"/>
      <c r="O471" s="127" t="s">
        <v>489</v>
      </c>
      <c r="P471" s="223"/>
      <c r="Q471" s="831" t="s">
        <v>860</v>
      </c>
      <c r="R471" s="806" t="s">
        <v>114</v>
      </c>
      <c r="S471" s="127"/>
      <c r="T471" s="127"/>
      <c r="U471" s="127"/>
      <c r="V471" s="127"/>
      <c r="W471" s="161"/>
    </row>
    <row r="472" spans="3:24" s="44" customFormat="1" ht="17" x14ac:dyDescent="0.2">
      <c r="C472" s="157"/>
      <c r="D472" s="42" t="s">
        <v>863</v>
      </c>
      <c r="E472" s="42"/>
      <c r="F472" s="42"/>
      <c r="G472" s="42"/>
      <c r="H472" s="42"/>
      <c r="I472" s="42"/>
      <c r="J472" s="42" t="s">
        <v>160</v>
      </c>
      <c r="K472" s="42"/>
      <c r="L472" s="42"/>
      <c r="M472" s="42"/>
      <c r="N472" s="42"/>
      <c r="O472" s="38" t="s">
        <v>891</v>
      </c>
      <c r="P472" s="48"/>
      <c r="Q472" s="832"/>
      <c r="R472" s="807"/>
      <c r="S472" s="42"/>
      <c r="T472" s="42"/>
      <c r="U472" s="42"/>
      <c r="V472" s="42"/>
      <c r="W472" s="162"/>
      <c r="X472" s="40"/>
    </row>
    <row r="473" spans="3:24" s="40" customFormat="1" x14ac:dyDescent="0.2">
      <c r="C473" s="157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832"/>
      <c r="R473" s="807"/>
      <c r="S473" s="42"/>
      <c r="T473" s="42"/>
      <c r="U473" s="42"/>
      <c r="V473" s="42"/>
      <c r="W473" s="162"/>
      <c r="X473" s="44"/>
    </row>
    <row r="474" spans="3:24" s="44" customFormat="1" ht="17" thickBot="1" x14ac:dyDescent="0.25">
      <c r="C474" s="159"/>
      <c r="D474" s="164"/>
      <c r="E474" s="164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833"/>
      <c r="R474" s="808"/>
      <c r="S474" s="128"/>
      <c r="T474" s="128"/>
      <c r="U474" s="128"/>
      <c r="V474" s="128"/>
      <c r="W474" s="163"/>
    </row>
    <row r="475" spans="3:24" s="44" customFormat="1" ht="17" thickBot="1" x14ac:dyDescent="0.25">
      <c r="C475" s="47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P475" s="40"/>
      <c r="Q475" s="40"/>
      <c r="R475" s="40"/>
      <c r="S475" s="40"/>
      <c r="T475" s="40"/>
      <c r="U475" s="40"/>
      <c r="V475" s="40"/>
      <c r="W475" s="40"/>
    </row>
    <row r="476" spans="3:24" s="44" customFormat="1" x14ac:dyDescent="0.2">
      <c r="C476" s="155"/>
      <c r="D476" s="127" t="s">
        <v>879</v>
      </c>
      <c r="E476" s="127"/>
      <c r="F476" s="127"/>
      <c r="G476" s="127"/>
      <c r="H476" s="127"/>
      <c r="I476" s="127"/>
      <c r="J476" s="127" t="s">
        <v>160</v>
      </c>
      <c r="K476" s="127" t="s">
        <v>160</v>
      </c>
      <c r="L476" s="127"/>
      <c r="M476" s="127"/>
      <c r="N476" s="127"/>
      <c r="O476" s="127" t="s">
        <v>932</v>
      </c>
      <c r="P476" s="223"/>
      <c r="Q476" s="831" t="s">
        <v>939</v>
      </c>
      <c r="R476" s="806" t="s">
        <v>114</v>
      </c>
      <c r="S476" s="127"/>
      <c r="T476" s="127"/>
      <c r="U476" s="127"/>
      <c r="V476" s="127"/>
      <c r="W476" s="161"/>
    </row>
    <row r="477" spans="3:24" s="44" customFormat="1" x14ac:dyDescent="0.2">
      <c r="C477" s="157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8"/>
      <c r="Q477" s="832"/>
      <c r="R477" s="807"/>
      <c r="S477" s="42"/>
      <c r="T477" s="42"/>
      <c r="U477" s="42"/>
      <c r="V477" s="42"/>
      <c r="W477" s="162"/>
      <c r="X477" s="40"/>
    </row>
    <row r="478" spans="3:24" s="40" customFormat="1" x14ac:dyDescent="0.2">
      <c r="C478" s="157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832"/>
      <c r="R478" s="807"/>
      <c r="S478" s="42"/>
      <c r="T478" s="42"/>
      <c r="U478" s="42"/>
      <c r="V478" s="42"/>
      <c r="W478" s="162"/>
      <c r="X478" s="44"/>
    </row>
    <row r="479" spans="3:24" s="44" customFormat="1" ht="15.75" customHeight="1" thickBot="1" x14ac:dyDescent="0.25">
      <c r="C479" s="159"/>
      <c r="D479" s="164"/>
      <c r="E479" s="164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833"/>
      <c r="R479" s="808"/>
      <c r="S479" s="128"/>
      <c r="T479" s="128"/>
      <c r="U479" s="128"/>
      <c r="V479" s="128"/>
      <c r="W479" s="163"/>
    </row>
    <row r="480" spans="3:24" s="44" customFormat="1" ht="17" thickBot="1" x14ac:dyDescent="0.25">
      <c r="D480" s="174"/>
      <c r="E480" s="174"/>
      <c r="Q480" s="20"/>
    </row>
    <row r="481" spans="2:23" ht="16" customHeight="1" x14ac:dyDescent="0.2">
      <c r="C481" s="155" t="s">
        <v>1881</v>
      </c>
      <c r="D481" s="127" t="s">
        <v>1872</v>
      </c>
      <c r="E481" s="127"/>
      <c r="F481" s="127"/>
      <c r="G481" s="127"/>
      <c r="H481" s="127"/>
      <c r="I481" s="127"/>
      <c r="J481" s="127" t="s">
        <v>160</v>
      </c>
      <c r="K481" s="101" t="s">
        <v>452</v>
      </c>
      <c r="L481" s="185"/>
      <c r="M481" s="127"/>
      <c r="N481" s="127"/>
      <c r="O481" s="127" t="s">
        <v>190</v>
      </c>
      <c r="P481" s="818"/>
      <c r="Q481" s="787" t="s">
        <v>1871</v>
      </c>
      <c r="R481" s="801"/>
      <c r="S481" s="127"/>
      <c r="T481" s="127"/>
      <c r="U481" s="42"/>
      <c r="V481" s="42"/>
      <c r="W481" s="162"/>
    </row>
    <row r="482" spans="2:23" ht="16" customHeight="1" x14ac:dyDescent="0.2">
      <c r="C482" s="157" t="s">
        <v>1881</v>
      </c>
      <c r="D482" s="42" t="s">
        <v>1873</v>
      </c>
      <c r="E482" s="42"/>
      <c r="F482" s="42"/>
      <c r="G482" s="42"/>
      <c r="H482" s="42"/>
      <c r="I482" s="42"/>
      <c r="J482" s="42" t="s">
        <v>160</v>
      </c>
      <c r="K482" s="495" t="s">
        <v>1876</v>
      </c>
      <c r="L482" s="42"/>
      <c r="M482" s="42"/>
      <c r="N482" s="42"/>
      <c r="O482" s="38" t="s">
        <v>1877</v>
      </c>
      <c r="P482" s="813"/>
      <c r="Q482" s="769"/>
      <c r="R482" s="802"/>
      <c r="S482" s="42"/>
      <c r="T482" s="42"/>
      <c r="U482" s="42"/>
      <c r="V482" s="42"/>
      <c r="W482" s="162"/>
    </row>
    <row r="483" spans="2:23" ht="16" customHeight="1" thickBot="1" x14ac:dyDescent="0.25">
      <c r="C483" s="157" t="s">
        <v>1881</v>
      </c>
      <c r="D483" s="42" t="s">
        <v>1874</v>
      </c>
      <c r="E483" s="42"/>
      <c r="F483" s="42"/>
      <c r="G483" s="42"/>
      <c r="H483" s="42"/>
      <c r="I483" s="42"/>
      <c r="J483" s="42" t="s">
        <v>160</v>
      </c>
      <c r="K483" s="129" t="s">
        <v>452</v>
      </c>
      <c r="L483" s="5"/>
      <c r="M483" s="42"/>
      <c r="N483" s="42"/>
      <c r="O483" s="42" t="s">
        <v>1878</v>
      </c>
      <c r="P483" s="813"/>
      <c r="Q483" s="769"/>
      <c r="R483" s="802"/>
      <c r="S483" s="42"/>
      <c r="T483" s="42"/>
      <c r="U483" s="128"/>
      <c r="V483" s="128"/>
      <c r="W483" s="163"/>
    </row>
    <row r="484" spans="2:23" ht="16" customHeight="1" thickBot="1" x14ac:dyDescent="0.25">
      <c r="C484" s="159" t="s">
        <v>1881</v>
      </c>
      <c r="D484" s="128" t="s">
        <v>1875</v>
      </c>
      <c r="E484" s="128"/>
      <c r="F484" s="128"/>
      <c r="G484" s="128"/>
      <c r="H484" s="128"/>
      <c r="I484" s="128"/>
      <c r="J484" s="128" t="s">
        <v>160</v>
      </c>
      <c r="K484" s="376" t="s">
        <v>452</v>
      </c>
      <c r="L484" s="499"/>
      <c r="M484" s="128"/>
      <c r="N484" s="128"/>
      <c r="O484" s="128" t="s">
        <v>253</v>
      </c>
      <c r="P484" s="819"/>
      <c r="Q484" s="788"/>
      <c r="R484" s="803"/>
      <c r="S484" s="128"/>
      <c r="T484" s="128"/>
      <c r="U484" s="128"/>
      <c r="V484" s="128"/>
      <c r="W484" s="163"/>
    </row>
    <row r="485" spans="2:23" ht="16" customHeight="1" thickBot="1" x14ac:dyDescent="0.25">
      <c r="C485" s="44"/>
      <c r="D485" s="174"/>
      <c r="E485" s="17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20"/>
      <c r="R485" s="176"/>
      <c r="S485" s="44"/>
      <c r="T485" s="44"/>
      <c r="U485" s="44"/>
      <c r="V485" s="44"/>
      <c r="W485" s="44"/>
    </row>
    <row r="486" spans="2:23" ht="28" customHeight="1" x14ac:dyDescent="0.2">
      <c r="B486" s="631" t="s">
        <v>2075</v>
      </c>
      <c r="C486" s="155"/>
      <c r="D486" s="127" t="s">
        <v>2084</v>
      </c>
      <c r="E486" s="127"/>
      <c r="F486" s="127"/>
      <c r="G486" s="127"/>
      <c r="H486" s="127"/>
      <c r="I486" s="127" t="s">
        <v>1635</v>
      </c>
      <c r="J486" s="127" t="s">
        <v>160</v>
      </c>
      <c r="K486" s="640" t="s">
        <v>160</v>
      </c>
      <c r="L486" s="127"/>
      <c r="M486" s="127"/>
      <c r="N486" s="127"/>
      <c r="O486" s="127" t="s">
        <v>915</v>
      </c>
      <c r="P486" s="795"/>
      <c r="Q486" s="831" t="s">
        <v>1633</v>
      </c>
      <c r="R486" s="806" t="s">
        <v>114</v>
      </c>
      <c r="S486" s="127"/>
      <c r="T486" s="127"/>
      <c r="U486" s="127"/>
      <c r="V486" s="127"/>
      <c r="W486" s="161"/>
    </row>
    <row r="487" spans="2:23" ht="16" customHeight="1" x14ac:dyDescent="0.2">
      <c r="B487" s="631" t="s">
        <v>2075</v>
      </c>
      <c r="C487" s="157"/>
      <c r="D487" s="42" t="s">
        <v>2085</v>
      </c>
      <c r="E487" s="42"/>
      <c r="F487" s="42"/>
      <c r="G487" s="42"/>
      <c r="H487" s="42"/>
      <c r="I487" s="42" t="s">
        <v>1636</v>
      </c>
      <c r="J487" s="42" t="s">
        <v>160</v>
      </c>
      <c r="K487" s="641" t="s">
        <v>160</v>
      </c>
      <c r="L487" s="26"/>
      <c r="M487" s="42"/>
      <c r="N487" s="42"/>
      <c r="O487" s="42" t="s">
        <v>1634</v>
      </c>
      <c r="P487" s="804"/>
      <c r="Q487" s="832"/>
      <c r="R487" s="807"/>
      <c r="S487" s="42"/>
      <c r="T487" s="42"/>
      <c r="U487" s="42"/>
      <c r="V487" s="42"/>
      <c r="W487" s="162"/>
    </row>
    <row r="488" spans="2:23" ht="16" customHeight="1" x14ac:dyDescent="0.2">
      <c r="C488" s="157"/>
      <c r="D488" s="44"/>
      <c r="E488" s="44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804"/>
      <c r="Q488" s="832"/>
      <c r="R488" s="807"/>
      <c r="S488" s="42"/>
      <c r="T488" s="42"/>
      <c r="U488" s="42"/>
      <c r="V488" s="42"/>
      <c r="W488" s="162"/>
    </row>
    <row r="489" spans="2:23" ht="16" customHeight="1" thickBot="1" x14ac:dyDescent="0.25">
      <c r="C489" s="159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805"/>
      <c r="Q489" s="833"/>
      <c r="R489" s="808"/>
      <c r="S489" s="128"/>
      <c r="T489" s="128"/>
      <c r="U489" s="128"/>
      <c r="V489" s="128"/>
      <c r="W489" s="163"/>
    </row>
    <row r="490" spans="2:23" ht="20" customHeight="1" thickBot="1" x14ac:dyDescent="0.25">
      <c r="C490" s="44"/>
      <c r="D490" s="174"/>
      <c r="E490" s="17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20"/>
      <c r="R490" s="176"/>
      <c r="S490" s="44"/>
      <c r="T490" s="44"/>
      <c r="U490" s="44"/>
      <c r="V490" s="44"/>
      <c r="W490" s="44"/>
    </row>
    <row r="491" spans="2:23" ht="16" customHeight="1" x14ac:dyDescent="0.2">
      <c r="C491" s="155"/>
      <c r="D491" s="127" t="s">
        <v>1884</v>
      </c>
      <c r="E491" s="127"/>
      <c r="F491" s="127" t="s">
        <v>2076</v>
      </c>
      <c r="G491" s="127"/>
      <c r="H491" s="127"/>
      <c r="I491" s="127"/>
      <c r="J491" s="444" t="s">
        <v>1889</v>
      </c>
      <c r="K491" s="127"/>
      <c r="L491" s="127"/>
      <c r="M491" s="127"/>
      <c r="N491" s="127"/>
      <c r="O491" s="127" t="s">
        <v>1520</v>
      </c>
      <c r="P491" s="795">
        <v>542082570</v>
      </c>
      <c r="Q491" s="831" t="s">
        <v>1895</v>
      </c>
      <c r="R491" s="806" t="s">
        <v>114</v>
      </c>
      <c r="S491" s="801"/>
      <c r="T491" s="127"/>
      <c r="U491" s="127"/>
      <c r="V491" s="127"/>
      <c r="W491" s="161"/>
    </row>
    <row r="492" spans="2:23" ht="16" customHeight="1" x14ac:dyDescent="0.2">
      <c r="C492" s="157"/>
      <c r="D492" s="42" t="s">
        <v>1885</v>
      </c>
      <c r="E492" s="42"/>
      <c r="F492" s="42"/>
      <c r="G492" s="42"/>
      <c r="H492" s="42"/>
      <c r="I492" s="42"/>
      <c r="J492" s="42"/>
      <c r="K492" s="42" t="s">
        <v>160</v>
      </c>
      <c r="L492" s="42"/>
      <c r="M492" s="42"/>
      <c r="N492" s="42"/>
      <c r="O492" s="42" t="s">
        <v>1886</v>
      </c>
      <c r="P492" s="804"/>
      <c r="Q492" s="832"/>
      <c r="R492" s="807"/>
      <c r="S492" s="802"/>
      <c r="T492" s="42"/>
      <c r="U492" s="42"/>
      <c r="V492" s="42"/>
      <c r="W492" s="162"/>
    </row>
    <row r="493" spans="2:23" ht="16" customHeight="1" x14ac:dyDescent="0.2">
      <c r="C493" s="157"/>
      <c r="D493" s="42" t="s">
        <v>1883</v>
      </c>
      <c r="E493" s="42"/>
      <c r="F493" s="42" t="s">
        <v>2076</v>
      </c>
      <c r="G493" s="42"/>
      <c r="H493" s="42" t="s">
        <v>1888</v>
      </c>
      <c r="I493" s="42"/>
      <c r="J493" s="496" t="s">
        <v>1582</v>
      </c>
      <c r="K493" s="42" t="s">
        <v>160</v>
      </c>
      <c r="L493" s="42"/>
      <c r="M493" s="42"/>
      <c r="N493" s="42"/>
      <c r="O493" s="42" t="s">
        <v>1887</v>
      </c>
      <c r="P493" s="804"/>
      <c r="Q493" s="832"/>
      <c r="R493" s="807"/>
      <c r="S493" s="802"/>
      <c r="T493" s="42"/>
      <c r="U493" s="42"/>
      <c r="V493" s="42"/>
      <c r="W493" s="162"/>
    </row>
    <row r="494" spans="2:23" ht="256" thickBot="1" x14ac:dyDescent="0.25">
      <c r="B494" s="652"/>
      <c r="C494" s="159"/>
      <c r="D494" s="128" t="s">
        <v>1882</v>
      </c>
      <c r="E494" s="648" t="s">
        <v>2123</v>
      </c>
      <c r="F494" s="363" t="s">
        <v>2128</v>
      </c>
      <c r="G494" s="128" t="s">
        <v>2138</v>
      </c>
      <c r="H494" s="128"/>
      <c r="I494" s="128"/>
      <c r="J494" s="128" t="s">
        <v>160</v>
      </c>
      <c r="K494" s="107" t="s">
        <v>160</v>
      </c>
      <c r="L494" s="650" t="s">
        <v>2158</v>
      </c>
      <c r="M494" s="499"/>
      <c r="N494" s="128"/>
      <c r="O494" s="128" t="s">
        <v>2124</v>
      </c>
      <c r="P494" s="805"/>
      <c r="Q494" s="833"/>
      <c r="R494" s="808"/>
      <c r="S494" s="803"/>
      <c r="T494" s="128"/>
      <c r="U494" s="128"/>
      <c r="V494" s="128"/>
      <c r="W494" s="163"/>
    </row>
    <row r="495" spans="2:23" ht="16" customHeight="1" thickBot="1" x14ac:dyDescent="0.25"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20"/>
      <c r="R495" s="176"/>
      <c r="S495" s="44"/>
      <c r="T495" s="44"/>
      <c r="U495" s="44"/>
      <c r="V495" s="44"/>
      <c r="W495" s="44"/>
    </row>
    <row r="496" spans="2:23" ht="16" customHeight="1" x14ac:dyDescent="0.2">
      <c r="C496" s="155"/>
      <c r="D496" s="127" t="s">
        <v>1890</v>
      </c>
      <c r="E496" s="127"/>
      <c r="F496" s="127" t="s">
        <v>2076</v>
      </c>
      <c r="G496" s="127"/>
      <c r="H496" s="127" t="s">
        <v>1893</v>
      </c>
      <c r="I496" s="127"/>
      <c r="J496" s="444" t="s">
        <v>1891</v>
      </c>
      <c r="K496" s="127" t="s">
        <v>160</v>
      </c>
      <c r="L496" s="127"/>
      <c r="M496" s="127"/>
      <c r="N496" s="127"/>
      <c r="O496" s="127" t="s">
        <v>1892</v>
      </c>
      <c r="P496" s="795">
        <v>542084598</v>
      </c>
      <c r="Q496" s="831" t="s">
        <v>1896</v>
      </c>
      <c r="R496" s="806" t="s">
        <v>114</v>
      </c>
      <c r="S496" s="801"/>
      <c r="T496" s="127"/>
      <c r="U496" s="127"/>
      <c r="V496" s="127"/>
      <c r="W496" s="161"/>
    </row>
    <row r="497" spans="3:24" ht="16" customHeight="1" x14ac:dyDescent="0.2">
      <c r="C497" s="157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804"/>
      <c r="Q497" s="832"/>
      <c r="R497" s="807"/>
      <c r="S497" s="802"/>
      <c r="T497" s="42"/>
      <c r="U497" s="42"/>
      <c r="V497" s="42"/>
      <c r="W497" s="162"/>
    </row>
    <row r="498" spans="3:24" ht="16" customHeight="1" x14ac:dyDescent="0.2">
      <c r="C498" s="157"/>
      <c r="D498" s="42"/>
      <c r="E498" s="42"/>
      <c r="F498" s="42"/>
      <c r="G498" s="42"/>
      <c r="H498" s="42"/>
      <c r="I498" s="42"/>
      <c r="J498" s="498"/>
      <c r="K498" s="42"/>
      <c r="L498" s="42"/>
      <c r="M498" s="42"/>
      <c r="N498" s="42"/>
      <c r="O498" s="42"/>
      <c r="P498" s="804"/>
      <c r="Q498" s="832"/>
      <c r="R498" s="807"/>
      <c r="S498" s="802"/>
      <c r="T498" s="42"/>
      <c r="U498" s="42"/>
      <c r="V498" s="42"/>
      <c r="W498" s="162"/>
    </row>
    <row r="499" spans="3:24" ht="16" customHeight="1" thickBot="1" x14ac:dyDescent="0.25">
      <c r="C499" s="159"/>
      <c r="D499" s="128"/>
      <c r="E499" s="128"/>
      <c r="F499" s="128"/>
      <c r="G499" s="128"/>
      <c r="H499" s="128"/>
      <c r="I499" s="128"/>
      <c r="J499" s="279"/>
      <c r="K499" s="499"/>
      <c r="L499" s="499"/>
      <c r="M499" s="499"/>
      <c r="N499" s="128"/>
      <c r="O499" s="128"/>
      <c r="P499" s="805"/>
      <c r="Q499" s="833"/>
      <c r="R499" s="808"/>
      <c r="S499" s="803"/>
      <c r="T499" s="128"/>
      <c r="U499" s="128"/>
      <c r="V499" s="128"/>
      <c r="W499" s="163"/>
    </row>
    <row r="500" spans="3:24" ht="16" customHeight="1" thickBot="1" x14ac:dyDescent="0.25">
      <c r="C500" s="44"/>
      <c r="D500" s="44"/>
      <c r="E500" s="44"/>
      <c r="F500" s="44"/>
      <c r="G500" s="44"/>
      <c r="H500" s="44"/>
      <c r="I500" s="44"/>
      <c r="J500" s="47"/>
      <c r="K500" s="497"/>
      <c r="L500" s="497"/>
      <c r="M500" s="497"/>
      <c r="N500" s="44"/>
      <c r="O500" s="44"/>
      <c r="P500" s="44"/>
      <c r="Q500" s="20"/>
      <c r="R500" s="176"/>
      <c r="S500" s="176"/>
      <c r="T500" s="44"/>
      <c r="U500" s="44"/>
      <c r="V500" s="44"/>
      <c r="W500" s="44"/>
    </row>
    <row r="501" spans="3:24" ht="16" customHeight="1" x14ac:dyDescent="0.2">
      <c r="C501" s="155"/>
      <c r="D501" s="127" t="s">
        <v>1897</v>
      </c>
      <c r="E501" s="127"/>
      <c r="F501" s="127" t="s">
        <v>2076</v>
      </c>
      <c r="G501" s="127"/>
      <c r="H501" s="127"/>
      <c r="I501" s="127"/>
      <c r="J501" s="444" t="s">
        <v>1582</v>
      </c>
      <c r="K501" s="127" t="s">
        <v>160</v>
      </c>
      <c r="L501" s="127"/>
      <c r="M501" s="185"/>
      <c r="N501" s="127"/>
      <c r="O501" s="127"/>
      <c r="P501" s="892">
        <v>542084597</v>
      </c>
      <c r="Q501" s="831" t="s">
        <v>1894</v>
      </c>
      <c r="R501" s="806" t="s">
        <v>114</v>
      </c>
      <c r="S501" s="338"/>
      <c r="T501" s="127"/>
      <c r="U501" s="127"/>
      <c r="V501" s="127"/>
      <c r="W501" s="161"/>
    </row>
    <row r="502" spans="3:24" ht="16" customHeight="1" x14ac:dyDescent="0.2">
      <c r="C502" s="157"/>
      <c r="D502" s="42" t="s">
        <v>1898</v>
      </c>
      <c r="E502" s="42"/>
      <c r="F502" s="42" t="s">
        <v>2076</v>
      </c>
      <c r="G502" s="42"/>
      <c r="H502" s="42"/>
      <c r="I502" s="42"/>
      <c r="J502" s="496" t="s">
        <v>1900</v>
      </c>
      <c r="K502" s="42" t="s">
        <v>160</v>
      </c>
      <c r="L502" s="42"/>
      <c r="M502" s="5"/>
      <c r="N502" s="42"/>
      <c r="O502" s="42"/>
      <c r="P502" s="740"/>
      <c r="Q502" s="832"/>
      <c r="R502" s="807"/>
      <c r="S502" s="165"/>
      <c r="T502" s="42"/>
      <c r="U502" s="42"/>
      <c r="V502" s="42"/>
      <c r="W502" s="162"/>
    </row>
    <row r="503" spans="3:24" ht="16" customHeight="1" x14ac:dyDescent="0.2">
      <c r="C503" s="157"/>
      <c r="D503" s="42" t="s">
        <v>1899</v>
      </c>
      <c r="E503" s="42"/>
      <c r="F503" s="42" t="s">
        <v>2076</v>
      </c>
      <c r="G503" s="42"/>
      <c r="H503" s="42"/>
      <c r="I503" s="42"/>
      <c r="J503" s="496" t="s">
        <v>1582</v>
      </c>
      <c r="K503" s="42" t="s">
        <v>160</v>
      </c>
      <c r="L503" s="42"/>
      <c r="M503" s="5"/>
      <c r="N503" s="42"/>
      <c r="O503" s="42"/>
      <c r="P503" s="740"/>
      <c r="Q503" s="832"/>
      <c r="R503" s="807"/>
      <c r="S503" s="165"/>
      <c r="T503" s="42"/>
      <c r="U503" s="42"/>
      <c r="V503" s="42"/>
      <c r="W503" s="162"/>
    </row>
    <row r="504" spans="3:24" ht="16" customHeight="1" thickBot="1" x14ac:dyDescent="0.25">
      <c r="C504" s="159"/>
      <c r="D504" s="128"/>
      <c r="E504" s="128"/>
      <c r="F504" s="128"/>
      <c r="G504" s="128"/>
      <c r="H504" s="128"/>
      <c r="I504" s="128"/>
      <c r="J504" s="279"/>
      <c r="K504" s="499"/>
      <c r="L504" s="499"/>
      <c r="M504" s="499"/>
      <c r="N504" s="128"/>
      <c r="O504" s="128"/>
      <c r="P504" s="893"/>
      <c r="Q504" s="833"/>
      <c r="R504" s="808"/>
      <c r="S504" s="177"/>
      <c r="T504" s="128"/>
      <c r="U504" s="128"/>
      <c r="V504" s="128"/>
      <c r="W504" s="163"/>
    </row>
    <row r="505" spans="3:24" ht="16" customHeight="1" thickBot="1" x14ac:dyDescent="0.25">
      <c r="C505" s="44"/>
      <c r="D505" s="44"/>
      <c r="E505" s="44"/>
      <c r="F505" s="44"/>
      <c r="G505" s="44"/>
      <c r="H505" s="44"/>
      <c r="I505" s="44"/>
      <c r="J505" s="47"/>
      <c r="K505" s="497"/>
      <c r="L505" s="497"/>
      <c r="M505" s="497"/>
      <c r="N505" s="44"/>
      <c r="O505" s="44"/>
      <c r="P505" s="44"/>
      <c r="Q505" s="20"/>
      <c r="R505" s="176"/>
      <c r="S505" s="176"/>
      <c r="T505" s="44"/>
      <c r="U505" s="44"/>
      <c r="V505" s="44"/>
      <c r="W505" s="44"/>
    </row>
    <row r="506" spans="3:24" s="44" customFormat="1" x14ac:dyDescent="0.2">
      <c r="C506" s="155"/>
      <c r="D506" s="127" t="s">
        <v>892</v>
      </c>
      <c r="E506" s="127"/>
      <c r="F506" s="127"/>
      <c r="G506" s="127"/>
      <c r="H506" s="127"/>
      <c r="I506" s="127"/>
      <c r="J506" s="127" t="s">
        <v>160</v>
      </c>
      <c r="K506" s="127"/>
      <c r="L506" s="127"/>
      <c r="M506" s="127"/>
      <c r="N506" s="127"/>
      <c r="O506" s="127" t="s">
        <v>775</v>
      </c>
      <c r="P506" s="223"/>
      <c r="Q506" s="831" t="s">
        <v>897</v>
      </c>
      <c r="R506" s="806" t="s">
        <v>114</v>
      </c>
      <c r="S506" s="127"/>
      <c r="T506" s="127"/>
      <c r="U506" s="127"/>
      <c r="V506" s="127"/>
      <c r="W506" s="161"/>
    </row>
    <row r="507" spans="3:24" s="44" customFormat="1" ht="34" x14ac:dyDescent="0.2">
      <c r="C507" s="157"/>
      <c r="D507" s="42" t="s">
        <v>625</v>
      </c>
      <c r="E507" s="42"/>
      <c r="F507" s="42"/>
      <c r="G507" s="42"/>
      <c r="H507" s="42"/>
      <c r="J507" s="287" t="s">
        <v>160</v>
      </c>
      <c r="K507" s="42" t="s">
        <v>160</v>
      </c>
      <c r="L507" s="42"/>
      <c r="M507" s="42"/>
      <c r="N507" s="42"/>
      <c r="O507" s="38" t="s">
        <v>895</v>
      </c>
      <c r="P507" s="48"/>
      <c r="Q507" s="832"/>
      <c r="R507" s="807"/>
      <c r="S507" s="42"/>
      <c r="T507" s="42"/>
      <c r="U507" s="42"/>
      <c r="V507" s="42"/>
      <c r="W507" s="162"/>
      <c r="X507" s="40"/>
    </row>
    <row r="508" spans="3:24" s="40" customFormat="1" x14ac:dyDescent="0.2">
      <c r="C508" s="157"/>
      <c r="D508" s="42" t="s">
        <v>893</v>
      </c>
      <c r="E508" s="42"/>
      <c r="F508" s="42"/>
      <c r="G508" s="42"/>
      <c r="H508" s="42"/>
      <c r="I508" s="42"/>
      <c r="J508" s="42" t="s">
        <v>160</v>
      </c>
      <c r="K508" s="42"/>
      <c r="L508" s="42"/>
      <c r="M508" s="42"/>
      <c r="N508" s="42"/>
      <c r="O508" s="42" t="s">
        <v>891</v>
      </c>
      <c r="P508" s="42"/>
      <c r="Q508" s="832"/>
      <c r="R508" s="807"/>
      <c r="S508" s="42"/>
      <c r="T508" s="42"/>
      <c r="U508" s="42"/>
      <c r="V508" s="42"/>
      <c r="W508" s="162"/>
    </row>
    <row r="509" spans="3:24" s="40" customFormat="1" ht="17" thickBot="1" x14ac:dyDescent="0.25">
      <c r="C509" s="159"/>
      <c r="D509" s="164" t="s">
        <v>894</v>
      </c>
      <c r="E509" s="164"/>
      <c r="F509" s="128"/>
      <c r="G509" s="128"/>
      <c r="H509" s="128"/>
      <c r="I509" s="128"/>
      <c r="J509" s="286" t="s">
        <v>160</v>
      </c>
      <c r="K509" s="128"/>
      <c r="L509" s="128"/>
      <c r="M509" s="128"/>
      <c r="N509" s="128"/>
      <c r="O509" s="128"/>
      <c r="P509" s="128"/>
      <c r="Q509" s="833"/>
      <c r="R509" s="808"/>
      <c r="S509" s="128"/>
      <c r="T509" s="128"/>
      <c r="U509" s="128"/>
      <c r="V509" s="128"/>
      <c r="W509" s="163"/>
    </row>
    <row r="510" spans="3:24" s="40" customFormat="1" ht="17" thickBot="1" x14ac:dyDescent="0.25">
      <c r="C510" s="47"/>
      <c r="O510" s="44"/>
    </row>
    <row r="511" spans="3:24" s="40" customFormat="1" x14ac:dyDescent="0.2">
      <c r="C511" s="155"/>
      <c r="D511" s="127" t="s">
        <v>904</v>
      </c>
      <c r="E511" s="127"/>
      <c r="F511" s="127"/>
      <c r="G511" s="127"/>
      <c r="H511" s="127" t="s">
        <v>908</v>
      </c>
      <c r="I511" s="127"/>
      <c r="J511" s="127" t="s">
        <v>160</v>
      </c>
      <c r="K511" s="127"/>
      <c r="L511" s="127"/>
      <c r="M511" s="127"/>
      <c r="N511" s="127"/>
      <c r="O511" s="127" t="s">
        <v>914</v>
      </c>
      <c r="P511" s="223"/>
      <c r="Q511" s="831" t="s">
        <v>911</v>
      </c>
      <c r="R511" s="806" t="s">
        <v>114</v>
      </c>
      <c r="S511" s="127"/>
      <c r="T511" s="127"/>
      <c r="U511" s="127"/>
      <c r="V511" s="127"/>
      <c r="W511" s="161"/>
    </row>
    <row r="512" spans="3:24" s="40" customFormat="1" ht="17" x14ac:dyDescent="0.2">
      <c r="C512" s="157"/>
      <c r="D512" s="42" t="s">
        <v>905</v>
      </c>
      <c r="E512" s="42"/>
      <c r="F512" s="42"/>
      <c r="G512" s="42"/>
      <c r="H512" s="42" t="s">
        <v>909</v>
      </c>
      <c r="I512" s="42"/>
      <c r="J512" s="129" t="s">
        <v>452</v>
      </c>
      <c r="K512" s="42" t="s">
        <v>160</v>
      </c>
      <c r="L512" s="42"/>
      <c r="M512" s="42"/>
      <c r="N512" s="42"/>
      <c r="O512" s="38" t="s">
        <v>913</v>
      </c>
      <c r="P512" s="48"/>
      <c r="Q512" s="832"/>
      <c r="R512" s="807"/>
      <c r="S512" s="42"/>
      <c r="T512" s="42"/>
      <c r="U512" s="42"/>
      <c r="V512" s="42"/>
      <c r="W512" s="162"/>
      <c r="X512"/>
    </row>
    <row r="513" spans="3:24" ht="22" customHeight="1" x14ac:dyDescent="0.2">
      <c r="C513" s="157"/>
      <c r="D513" s="42" t="s">
        <v>906</v>
      </c>
      <c r="E513" s="42"/>
      <c r="F513" s="42"/>
      <c r="G513" s="42"/>
      <c r="H513" s="42" t="s">
        <v>907</v>
      </c>
      <c r="I513" s="42"/>
      <c r="J513" s="42" t="s">
        <v>910</v>
      </c>
      <c r="K513" s="42" t="s">
        <v>160</v>
      </c>
      <c r="L513" s="42"/>
      <c r="M513" s="42"/>
      <c r="N513" s="42"/>
      <c r="O513" s="42" t="s">
        <v>915</v>
      </c>
      <c r="P513" s="42"/>
      <c r="Q513" s="832"/>
      <c r="R513" s="807"/>
      <c r="S513" s="42"/>
      <c r="T513" s="42"/>
      <c r="U513" s="42"/>
      <c r="V513" s="42"/>
      <c r="W513" s="162"/>
    </row>
    <row r="514" spans="3:24" ht="22" customHeight="1" thickBot="1" x14ac:dyDescent="0.25">
      <c r="C514" s="159"/>
      <c r="D514" s="164"/>
      <c r="E514" s="164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833"/>
      <c r="R514" s="808"/>
      <c r="S514" s="128"/>
      <c r="T514" s="128"/>
      <c r="U514" s="128"/>
      <c r="V514" s="128"/>
      <c r="W514" s="163"/>
    </row>
    <row r="515" spans="3:24" ht="17" thickBot="1" x14ac:dyDescent="0.25">
      <c r="C515" s="44"/>
      <c r="D515" s="174"/>
      <c r="E515" s="174"/>
      <c r="F515" s="44"/>
      <c r="G515" s="44"/>
      <c r="H515" s="44"/>
      <c r="I515" s="44"/>
      <c r="J515" s="44"/>
      <c r="K515" s="44"/>
      <c r="L515" s="44"/>
      <c r="M515" s="361"/>
      <c r="N515" s="44"/>
      <c r="O515" s="44"/>
      <c r="P515" s="44"/>
      <c r="Q515" s="20"/>
      <c r="R515" s="176"/>
      <c r="S515" s="44"/>
      <c r="T515" s="44"/>
      <c r="U515" s="44"/>
      <c r="V515" s="44"/>
      <c r="W515" s="44"/>
    </row>
    <row r="516" spans="3:24" ht="16" customHeight="1" x14ac:dyDescent="0.2">
      <c r="C516" s="155"/>
      <c r="D516" s="127" t="s">
        <v>1570</v>
      </c>
      <c r="E516" s="127"/>
      <c r="F516" s="127"/>
      <c r="G516" s="127"/>
      <c r="H516" s="154" t="s">
        <v>1605</v>
      </c>
      <c r="I516" s="127"/>
      <c r="J516" s="127" t="s">
        <v>160</v>
      </c>
      <c r="K516" s="127"/>
      <c r="L516" s="127"/>
      <c r="M516" s="127"/>
      <c r="N516" s="127" t="s">
        <v>1093</v>
      </c>
      <c r="O516" s="127" t="s">
        <v>1601</v>
      </c>
      <c r="P516" s="223"/>
      <c r="Q516" s="831" t="s">
        <v>1597</v>
      </c>
      <c r="R516" s="806" t="s">
        <v>114</v>
      </c>
      <c r="S516" s="127"/>
      <c r="T516" s="127"/>
      <c r="U516" s="127"/>
      <c r="V516" s="127"/>
      <c r="W516" s="161"/>
    </row>
    <row r="517" spans="3:24" ht="68" x14ac:dyDescent="0.2">
      <c r="C517" s="157"/>
      <c r="D517" s="42" t="s">
        <v>1571</v>
      </c>
      <c r="E517" s="42"/>
      <c r="F517" s="42"/>
      <c r="G517" s="42"/>
      <c r="H517" s="41" t="s">
        <v>1600</v>
      </c>
      <c r="I517" s="224"/>
      <c r="J517" s="42" t="s">
        <v>160</v>
      </c>
      <c r="K517" s="42"/>
      <c r="L517" s="42"/>
      <c r="M517" s="42"/>
      <c r="N517" s="42" t="s">
        <v>1108</v>
      </c>
      <c r="O517" s="42" t="s">
        <v>1602</v>
      </c>
      <c r="P517" s="48"/>
      <c r="Q517" s="832"/>
      <c r="R517" s="807"/>
      <c r="S517" s="42"/>
      <c r="T517" s="42"/>
      <c r="U517" s="42"/>
      <c r="V517" s="42"/>
      <c r="W517" s="162"/>
    </row>
    <row r="518" spans="3:24" ht="68" x14ac:dyDescent="0.2">
      <c r="C518" s="157"/>
      <c r="D518" s="42" t="s">
        <v>1572</v>
      </c>
      <c r="E518" s="42"/>
      <c r="F518" s="42"/>
      <c r="G518" s="42"/>
      <c r="H518" s="41" t="s">
        <v>1599</v>
      </c>
      <c r="I518" s="42"/>
      <c r="J518" s="42" t="s">
        <v>160</v>
      </c>
      <c r="K518" s="42"/>
      <c r="L518" s="42"/>
      <c r="M518" s="42"/>
      <c r="N518" s="42" t="s">
        <v>1098</v>
      </c>
      <c r="O518" s="42" t="s">
        <v>1594</v>
      </c>
      <c r="P518" s="42"/>
      <c r="Q518" s="832"/>
      <c r="R518" s="807"/>
      <c r="S518" s="42"/>
      <c r="T518" s="42"/>
      <c r="U518" s="42"/>
      <c r="V518" s="42"/>
      <c r="W518" s="162"/>
    </row>
    <row r="519" spans="3:24" ht="103" thickBot="1" x14ac:dyDescent="0.25">
      <c r="C519" s="159"/>
      <c r="D519" s="164" t="s">
        <v>1573</v>
      </c>
      <c r="E519" s="164"/>
      <c r="F519" s="128"/>
      <c r="G519" s="128"/>
      <c r="H519" s="363" t="s">
        <v>1598</v>
      </c>
      <c r="I519" s="128"/>
      <c r="J519" s="128" t="s">
        <v>160</v>
      </c>
      <c r="K519" s="128"/>
      <c r="L519" s="128"/>
      <c r="M519" s="128"/>
      <c r="N519" s="128" t="s">
        <v>1596</v>
      </c>
      <c r="O519" s="128" t="s">
        <v>1595</v>
      </c>
      <c r="P519" s="128"/>
      <c r="Q519" s="833"/>
      <c r="R519" s="808"/>
      <c r="S519" s="128"/>
      <c r="T519" s="128"/>
      <c r="U519" s="128"/>
      <c r="V519" s="128"/>
      <c r="W519" s="163"/>
    </row>
    <row r="520" spans="3:24" ht="33.5" customHeight="1" thickBot="1" x14ac:dyDescent="0.25"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20"/>
      <c r="R520" s="176"/>
      <c r="S520" s="44"/>
      <c r="T520" s="44"/>
      <c r="U520" s="44"/>
      <c r="V520" s="44"/>
      <c r="W520" s="44"/>
      <c r="X520" s="44"/>
    </row>
    <row r="521" spans="3:24" s="44" customFormat="1" ht="102" x14ac:dyDescent="0.2">
      <c r="C521" s="155"/>
      <c r="D521" s="127" t="s">
        <v>1574</v>
      </c>
      <c r="E521" s="127"/>
      <c r="F521" s="127"/>
      <c r="G521" s="127"/>
      <c r="H521" s="154" t="s">
        <v>1588</v>
      </c>
      <c r="I521" s="127"/>
      <c r="J521" s="127" t="s">
        <v>160</v>
      </c>
      <c r="K521" s="127"/>
      <c r="L521" s="127"/>
      <c r="M521" s="127"/>
      <c r="N521" s="127" t="s">
        <v>1093</v>
      </c>
      <c r="O521" s="127" t="s">
        <v>1592</v>
      </c>
      <c r="P521" s="223"/>
      <c r="Q521" s="831" t="s">
        <v>1590</v>
      </c>
      <c r="R521" s="816" t="s">
        <v>114</v>
      </c>
      <c r="S521" s="127"/>
      <c r="T521" s="127"/>
      <c r="U521" s="127"/>
      <c r="V521" s="127"/>
      <c r="W521" s="161"/>
    </row>
    <row r="522" spans="3:24" s="44" customFormat="1" ht="102" x14ac:dyDescent="0.2">
      <c r="C522" s="157"/>
      <c r="D522" s="42" t="s">
        <v>1583</v>
      </c>
      <c r="E522" s="42"/>
      <c r="F522" s="42"/>
      <c r="G522" s="42"/>
      <c r="H522" s="41" t="s">
        <v>1587</v>
      </c>
      <c r="I522" s="42"/>
      <c r="J522" s="42" t="s">
        <v>160</v>
      </c>
      <c r="K522" s="42"/>
      <c r="L522" s="42"/>
      <c r="M522" s="42"/>
      <c r="N522" s="42" t="s">
        <v>1108</v>
      </c>
      <c r="O522" s="42" t="s">
        <v>1593</v>
      </c>
      <c r="P522" s="48"/>
      <c r="Q522" s="832"/>
      <c r="R522" s="807"/>
      <c r="S522" s="42"/>
      <c r="T522" s="42"/>
      <c r="U522" s="42"/>
      <c r="V522" s="42"/>
      <c r="W522" s="162"/>
    </row>
    <row r="523" spans="3:24" s="44" customFormat="1" ht="136" x14ac:dyDescent="0.2">
      <c r="C523" s="157"/>
      <c r="D523" s="42" t="s">
        <v>1584</v>
      </c>
      <c r="E523" s="42"/>
      <c r="F523" s="42"/>
      <c r="G523" s="42"/>
      <c r="H523" s="41" t="s">
        <v>1589</v>
      </c>
      <c r="I523" s="42"/>
      <c r="J523" s="42" t="s">
        <v>160</v>
      </c>
      <c r="K523" s="42"/>
      <c r="L523" s="42"/>
      <c r="M523" s="42"/>
      <c r="N523" s="42" t="s">
        <v>1098</v>
      </c>
      <c r="O523" s="42" t="s">
        <v>1594</v>
      </c>
      <c r="P523" s="42"/>
      <c r="Q523" s="832"/>
      <c r="R523" s="807"/>
      <c r="S523" s="42"/>
      <c r="T523" s="42"/>
      <c r="U523" s="42"/>
      <c r="V523" s="42"/>
      <c r="W523" s="162"/>
    </row>
    <row r="524" spans="3:24" s="44" customFormat="1" ht="103" thickBot="1" x14ac:dyDescent="0.25">
      <c r="C524" s="159"/>
      <c r="D524" s="164" t="s">
        <v>1585</v>
      </c>
      <c r="E524" s="164"/>
      <c r="F524" s="128"/>
      <c r="G524" s="128"/>
      <c r="H524" s="363" t="s">
        <v>1586</v>
      </c>
      <c r="I524" s="128"/>
      <c r="J524" s="128" t="s">
        <v>160</v>
      </c>
      <c r="K524" s="128"/>
      <c r="L524" s="128"/>
      <c r="M524" s="128"/>
      <c r="N524" s="128" t="s">
        <v>1596</v>
      </c>
      <c r="O524" s="128" t="s">
        <v>1595</v>
      </c>
      <c r="P524" s="128"/>
      <c r="Q524" s="833"/>
      <c r="R524" s="808"/>
      <c r="S524" s="128"/>
      <c r="T524" s="128"/>
      <c r="U524" s="128"/>
      <c r="V524" s="128"/>
      <c r="W524" s="163"/>
    </row>
    <row r="525" spans="3:24" s="44" customFormat="1" ht="17" thickBot="1" x14ac:dyDescent="0.25">
      <c r="D525" s="174"/>
      <c r="E525" s="174"/>
      <c r="Q525" s="20"/>
    </row>
    <row r="526" spans="3:24" s="44" customFormat="1" ht="68" x14ac:dyDescent="0.2">
      <c r="C526" s="155"/>
      <c r="D526" s="127" t="s">
        <v>1575</v>
      </c>
      <c r="E526" s="127"/>
      <c r="F526" s="127"/>
      <c r="G526" s="127"/>
      <c r="H526" s="154" t="s">
        <v>1606</v>
      </c>
      <c r="I526" s="127"/>
      <c r="J526" s="127" t="s">
        <v>160</v>
      </c>
      <c r="K526" s="127"/>
      <c r="L526" s="127"/>
      <c r="M526" s="127"/>
      <c r="N526" s="127"/>
      <c r="O526" s="127" t="s">
        <v>1592</v>
      </c>
      <c r="P526" s="223"/>
      <c r="Q526" s="831" t="s">
        <v>1603</v>
      </c>
      <c r="R526" s="806" t="s">
        <v>114</v>
      </c>
      <c r="S526" s="127"/>
      <c r="T526" s="127"/>
      <c r="U526" s="127"/>
      <c r="V526" s="127"/>
      <c r="W526" s="161"/>
    </row>
    <row r="527" spans="3:24" s="44" customFormat="1" ht="16" customHeight="1" thickBot="1" x14ac:dyDescent="0.25">
      <c r="C527" s="157"/>
      <c r="D527" s="42" t="s">
        <v>1607</v>
      </c>
      <c r="E527" s="42"/>
      <c r="F527" s="42"/>
      <c r="G527" s="42"/>
      <c r="H527" s="41" t="s">
        <v>1610</v>
      </c>
      <c r="I527" s="224"/>
      <c r="J527" s="42" t="s">
        <v>160</v>
      </c>
      <c r="K527" s="42"/>
      <c r="L527" s="42"/>
      <c r="M527" s="42"/>
      <c r="N527" s="42"/>
      <c r="O527" s="42" t="s">
        <v>1593</v>
      </c>
      <c r="P527" s="48"/>
      <c r="Q527" s="832"/>
      <c r="R527" s="807"/>
      <c r="S527" s="42"/>
      <c r="T527" s="42"/>
      <c r="U527" s="42"/>
      <c r="V527" s="42"/>
      <c r="W527" s="162"/>
    </row>
    <row r="528" spans="3:24" s="44" customFormat="1" ht="85" x14ac:dyDescent="0.2">
      <c r="C528" s="157"/>
      <c r="D528" s="42" t="s">
        <v>1576</v>
      </c>
      <c r="E528" s="42"/>
      <c r="F528" s="42"/>
      <c r="G528" s="42"/>
      <c r="H528" s="154" t="s">
        <v>1615</v>
      </c>
      <c r="I528" s="42"/>
      <c r="J528" s="42" t="s">
        <v>160</v>
      </c>
      <c r="K528" s="42"/>
      <c r="L528" s="42"/>
      <c r="M528" s="42"/>
      <c r="N528" s="42"/>
      <c r="O528" s="42" t="s">
        <v>1594</v>
      </c>
      <c r="P528" s="42"/>
      <c r="Q528" s="832"/>
      <c r="R528" s="807"/>
      <c r="S528" s="42"/>
      <c r="T528" s="42"/>
      <c r="U528" s="42"/>
      <c r="V528" s="42"/>
      <c r="W528" s="162"/>
    </row>
    <row r="529" spans="3:24" s="44" customFormat="1" ht="69" thickBot="1" x14ac:dyDescent="0.25">
      <c r="C529" s="159"/>
      <c r="D529" s="164" t="s">
        <v>1577</v>
      </c>
      <c r="E529" s="164"/>
      <c r="F529" s="128"/>
      <c r="G529" s="128"/>
      <c r="H529" s="363" t="s">
        <v>1611</v>
      </c>
      <c r="I529" s="128"/>
      <c r="J529" s="128" t="s">
        <v>160</v>
      </c>
      <c r="K529" s="128"/>
      <c r="L529" s="128"/>
      <c r="M529" s="128"/>
      <c r="N529" s="128"/>
      <c r="O529" s="128" t="s">
        <v>1595</v>
      </c>
      <c r="P529" s="128"/>
      <c r="Q529" s="833"/>
      <c r="R529" s="808"/>
      <c r="S529" s="128"/>
      <c r="T529" s="128"/>
      <c r="U529" s="128"/>
      <c r="V529" s="128"/>
      <c r="W529" s="163"/>
    </row>
    <row r="530" spans="3:24" s="44" customFormat="1" ht="17" thickBot="1" x14ac:dyDescent="0.25">
      <c r="D530" s="174"/>
      <c r="E530" s="174"/>
      <c r="Q530" s="20"/>
    </row>
    <row r="531" spans="3:24" s="44" customFormat="1" x14ac:dyDescent="0.2">
      <c r="C531" s="155"/>
      <c r="D531" s="127" t="s">
        <v>1578</v>
      </c>
      <c r="E531" s="127"/>
      <c r="F531" s="127"/>
      <c r="G531" s="127"/>
      <c r="H531" s="127"/>
      <c r="I531" s="127"/>
      <c r="J531" s="444" t="s">
        <v>1621</v>
      </c>
      <c r="K531" s="127"/>
      <c r="L531" s="127"/>
      <c r="M531" s="127"/>
      <c r="N531" s="127" t="s">
        <v>1093</v>
      </c>
      <c r="O531" s="127" t="s">
        <v>1516</v>
      </c>
      <c r="P531" s="795">
        <v>542082574</v>
      </c>
      <c r="Q531" s="831" t="s">
        <v>1620</v>
      </c>
      <c r="R531" s="816" t="s">
        <v>114</v>
      </c>
      <c r="S531" s="127"/>
      <c r="T531" s="127"/>
      <c r="U531" s="127"/>
      <c r="V531" s="127"/>
      <c r="W531" s="161"/>
    </row>
    <row r="532" spans="3:24" s="44" customFormat="1" ht="16" customHeight="1" x14ac:dyDescent="0.2">
      <c r="C532" s="157"/>
      <c r="D532" s="42" t="s">
        <v>1579</v>
      </c>
      <c r="E532" s="42"/>
      <c r="F532" s="42"/>
      <c r="G532" s="42"/>
      <c r="H532" s="42"/>
      <c r="I532" s="42"/>
      <c r="J532" s="42" t="s">
        <v>160</v>
      </c>
      <c r="K532" s="42"/>
      <c r="L532" s="42"/>
      <c r="M532" s="42"/>
      <c r="N532" s="42"/>
      <c r="O532" s="42" t="s">
        <v>1593</v>
      </c>
      <c r="P532" s="804"/>
      <c r="Q532" s="832"/>
      <c r="R532" s="807"/>
      <c r="S532" s="42"/>
      <c r="T532" s="42"/>
      <c r="U532" s="42"/>
      <c r="V532" s="42"/>
      <c r="W532" s="162"/>
      <c r="X532" s="40"/>
    </row>
    <row r="533" spans="3:24" s="40" customFormat="1" x14ac:dyDescent="0.2">
      <c r="C533" s="157"/>
      <c r="D533" s="42" t="s">
        <v>1580</v>
      </c>
      <c r="E533" s="42"/>
      <c r="F533" s="42"/>
      <c r="G533" s="42"/>
      <c r="H533" s="42"/>
      <c r="I533" s="42"/>
      <c r="J533" s="42" t="s">
        <v>160</v>
      </c>
      <c r="K533" s="129" t="s">
        <v>452</v>
      </c>
      <c r="L533" s="42"/>
      <c r="M533" s="42"/>
      <c r="N533" s="42"/>
      <c r="O533" s="42" t="s">
        <v>1594</v>
      </c>
      <c r="P533" s="804"/>
      <c r="Q533" s="832"/>
      <c r="R533" s="807"/>
      <c r="S533" s="42"/>
      <c r="T533" s="42"/>
      <c r="U533" s="42"/>
      <c r="V533" s="42"/>
      <c r="W533" s="162"/>
      <c r="X533" s="44"/>
    </row>
    <row r="534" spans="3:24" s="44" customFormat="1" ht="17" thickBot="1" x14ac:dyDescent="0.25">
      <c r="C534" s="159"/>
      <c r="D534" s="164"/>
      <c r="E534" s="164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805"/>
      <c r="Q534" s="833"/>
      <c r="R534" s="808"/>
      <c r="S534" s="128"/>
      <c r="T534" s="128"/>
      <c r="U534" s="128"/>
      <c r="V534" s="128"/>
      <c r="W534" s="163"/>
    </row>
    <row r="535" spans="3:24" s="44" customFormat="1" ht="17" thickBot="1" x14ac:dyDescent="0.25">
      <c r="C535" s="47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P535" s="40"/>
      <c r="Q535" s="40"/>
      <c r="R535" s="40"/>
      <c r="S535" s="40"/>
      <c r="T535" s="40"/>
      <c r="U535" s="40"/>
      <c r="V535" s="40"/>
      <c r="W535" s="40"/>
      <c r="X535"/>
    </row>
    <row r="536" spans="3:24" s="44" customFormat="1" x14ac:dyDescent="0.2">
      <c r="C536" s="155"/>
      <c r="D536" s="127" t="s">
        <v>1581</v>
      </c>
      <c r="E536" s="127"/>
      <c r="F536" s="127"/>
      <c r="G536" s="127"/>
      <c r="H536" s="127"/>
      <c r="I536" s="127"/>
      <c r="J536" s="444" t="s">
        <v>1582</v>
      </c>
      <c r="K536" s="127"/>
      <c r="L536" s="127"/>
      <c r="M536" s="127"/>
      <c r="N536" s="127" t="s">
        <v>1093</v>
      </c>
      <c r="O536" s="127" t="s">
        <v>1516</v>
      </c>
      <c r="P536" s="795"/>
      <c r="Q536" s="831" t="s">
        <v>1617</v>
      </c>
      <c r="R536" s="806" t="s">
        <v>114</v>
      </c>
      <c r="S536" s="127"/>
      <c r="T536" s="127"/>
      <c r="U536" s="127"/>
      <c r="V536" s="127"/>
      <c r="W536" s="161"/>
    </row>
    <row r="537" spans="3:24" s="44" customFormat="1" ht="16" customHeight="1" x14ac:dyDescent="0.2">
      <c r="C537" s="157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 t="s">
        <v>1618</v>
      </c>
      <c r="P537" s="804"/>
      <c r="Q537" s="832"/>
      <c r="R537" s="807"/>
      <c r="S537" s="42"/>
      <c r="T537" s="42"/>
      <c r="U537" s="42"/>
      <c r="V537" s="42"/>
      <c r="W537" s="162"/>
      <c r="X537" s="40"/>
    </row>
    <row r="538" spans="3:24" s="40" customFormat="1" x14ac:dyDescent="0.2">
      <c r="C538" s="157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804"/>
      <c r="Q538" s="832"/>
      <c r="R538" s="807"/>
      <c r="S538" s="42"/>
      <c r="T538" s="42"/>
      <c r="U538" s="42"/>
      <c r="V538" s="42"/>
      <c r="W538" s="162"/>
      <c r="X538" s="44"/>
    </row>
    <row r="539" spans="3:24" s="44" customFormat="1" ht="15.75" customHeight="1" thickBot="1" x14ac:dyDescent="0.25">
      <c r="C539" s="159"/>
      <c r="D539" s="164"/>
      <c r="E539" s="164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805"/>
      <c r="Q539" s="833"/>
      <c r="R539" s="808"/>
      <c r="S539" s="128"/>
      <c r="T539" s="128"/>
      <c r="U539" s="128"/>
      <c r="V539" s="128"/>
      <c r="W539" s="163"/>
    </row>
    <row r="540" spans="3:24" s="44" customFormat="1" ht="17" thickBot="1" x14ac:dyDescent="0.25">
      <c r="D540" s="174"/>
      <c r="E540" s="174"/>
      <c r="Q540" s="20"/>
    </row>
    <row r="541" spans="3:24" s="44" customFormat="1" x14ac:dyDescent="0.2">
      <c r="C541" s="155"/>
      <c r="D541" s="155" t="s">
        <v>1604</v>
      </c>
      <c r="E541" s="426"/>
      <c r="F541" s="127"/>
      <c r="G541" s="127"/>
      <c r="H541" s="127" t="s">
        <v>1605</v>
      </c>
      <c r="I541" s="127"/>
      <c r="J541" s="127" t="s">
        <v>160</v>
      </c>
      <c r="K541" s="129" t="s">
        <v>452</v>
      </c>
      <c r="L541" s="127"/>
      <c r="M541" s="127"/>
      <c r="N541" s="127"/>
      <c r="O541" s="127" t="s">
        <v>771</v>
      </c>
      <c r="P541" s="795">
        <v>542082573</v>
      </c>
      <c r="Q541" s="831" t="s">
        <v>1608</v>
      </c>
      <c r="R541" s="806" t="s">
        <v>114</v>
      </c>
      <c r="S541" s="127"/>
      <c r="T541" s="127"/>
      <c r="U541" s="127"/>
      <c r="V541" s="127"/>
      <c r="W541" s="161"/>
    </row>
    <row r="542" spans="3:24" s="44" customFormat="1" ht="16" customHeight="1" x14ac:dyDescent="0.2">
      <c r="C542" s="157"/>
      <c r="D542" s="157" t="s">
        <v>1609</v>
      </c>
      <c r="E542" s="644"/>
      <c r="F542" s="42"/>
      <c r="G542" s="42"/>
      <c r="H542" s="42" t="s">
        <v>1612</v>
      </c>
      <c r="I542" s="42"/>
      <c r="J542" s="42" t="s">
        <v>160</v>
      </c>
      <c r="K542" s="42"/>
      <c r="L542" s="42"/>
      <c r="M542" s="42"/>
      <c r="N542" s="42"/>
      <c r="O542" s="42" t="s">
        <v>1106</v>
      </c>
      <c r="P542" s="804"/>
      <c r="Q542" s="832"/>
      <c r="R542" s="807"/>
      <c r="S542" s="42"/>
      <c r="T542" s="42"/>
      <c r="U542" s="42"/>
      <c r="V542" s="42"/>
      <c r="W542" s="162"/>
      <c r="X542" s="40"/>
    </row>
    <row r="543" spans="3:24" s="40" customFormat="1" x14ac:dyDescent="0.2">
      <c r="C543" s="157"/>
      <c r="D543" s="157"/>
      <c r="E543" s="644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804"/>
      <c r="Q543" s="832"/>
      <c r="R543" s="807"/>
      <c r="S543" s="42"/>
      <c r="T543" s="42"/>
      <c r="U543" s="42"/>
      <c r="V543" s="42"/>
      <c r="W543" s="162"/>
      <c r="X543" s="44"/>
    </row>
    <row r="544" spans="3:24" s="44" customFormat="1" ht="17" thickBot="1" x14ac:dyDescent="0.25">
      <c r="C544" s="159"/>
      <c r="D544" s="159"/>
      <c r="E544" s="645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805"/>
      <c r="Q544" s="833"/>
      <c r="R544" s="808"/>
      <c r="S544" s="128"/>
      <c r="T544" s="128"/>
      <c r="U544" s="128"/>
      <c r="V544" s="128"/>
      <c r="W544" s="163"/>
    </row>
  </sheetData>
  <mergeCells count="415">
    <mergeCell ref="R541:R544"/>
    <mergeCell ref="R521:R524"/>
    <mergeCell ref="R531:R534"/>
    <mergeCell ref="Q541:Q544"/>
    <mergeCell ref="P486:P489"/>
    <mergeCell ref="P406:P409"/>
    <mergeCell ref="Q431:Q434"/>
    <mergeCell ref="Q436:Q439"/>
    <mergeCell ref="Q486:Q489"/>
    <mergeCell ref="P501:P504"/>
    <mergeCell ref="P491:P494"/>
    <mergeCell ref="P496:P499"/>
    <mergeCell ref="Q496:Q499"/>
    <mergeCell ref="R496:R499"/>
    <mergeCell ref="P541:P544"/>
    <mergeCell ref="Q531:Q534"/>
    <mergeCell ref="R501:R504"/>
    <mergeCell ref="Q526:Q529"/>
    <mergeCell ref="Q516:Q519"/>
    <mergeCell ref="R426:R429"/>
    <mergeCell ref="Q471:Q474"/>
    <mergeCell ref="R471:R474"/>
    <mergeCell ref="R466:R468"/>
    <mergeCell ref="Q466:Q468"/>
    <mergeCell ref="P293:P296"/>
    <mergeCell ref="S264:S267"/>
    <mergeCell ref="T239:T242"/>
    <mergeCell ref="T244:T247"/>
    <mergeCell ref="T249:T252"/>
    <mergeCell ref="T254:T257"/>
    <mergeCell ref="T259:T262"/>
    <mergeCell ref="P283:P286"/>
    <mergeCell ref="Q273:Q276"/>
    <mergeCell ref="Q278:Q281"/>
    <mergeCell ref="S278:S281"/>
    <mergeCell ref="S283:S286"/>
    <mergeCell ref="S288:S291"/>
    <mergeCell ref="S293:S296"/>
    <mergeCell ref="S254:S257"/>
    <mergeCell ref="R264:R267"/>
    <mergeCell ref="P288:P291"/>
    <mergeCell ref="R293:R296"/>
    <mergeCell ref="Q264:Q267"/>
    <mergeCell ref="P278:P281"/>
    <mergeCell ref="T273:T276"/>
    <mergeCell ref="R259:R262"/>
    <mergeCell ref="Q301:Q304"/>
    <mergeCell ref="T278:T281"/>
    <mergeCell ref="T283:T286"/>
    <mergeCell ref="T288:T291"/>
    <mergeCell ref="T293:T296"/>
    <mergeCell ref="Q293:Q296"/>
    <mergeCell ref="Q288:Q291"/>
    <mergeCell ref="R278:R281"/>
    <mergeCell ref="R273:R276"/>
    <mergeCell ref="R283:R286"/>
    <mergeCell ref="R288:R291"/>
    <mergeCell ref="S273:S276"/>
    <mergeCell ref="P411:P414"/>
    <mergeCell ref="Q506:Q509"/>
    <mergeCell ref="Q461:Q464"/>
    <mergeCell ref="Q476:Q479"/>
    <mergeCell ref="R476:R479"/>
    <mergeCell ref="Q491:Q494"/>
    <mergeCell ref="R491:R494"/>
    <mergeCell ref="R436:R439"/>
    <mergeCell ref="P481:P484"/>
    <mergeCell ref="R481:R484"/>
    <mergeCell ref="Q481:Q484"/>
    <mergeCell ref="P436:P439"/>
    <mergeCell ref="R416:R419"/>
    <mergeCell ref="P441:P444"/>
    <mergeCell ref="P446:P449"/>
    <mergeCell ref="Q426:Q429"/>
    <mergeCell ref="P431:P434"/>
    <mergeCell ref="V301:V304"/>
    <mergeCell ref="U301:U304"/>
    <mergeCell ref="Q411:Q414"/>
    <mergeCell ref="R411:R414"/>
    <mergeCell ref="Q401:Q403"/>
    <mergeCell ref="R301:R304"/>
    <mergeCell ref="R346:R349"/>
    <mergeCell ref="Q361:Q364"/>
    <mergeCell ref="R361:R362"/>
    <mergeCell ref="Q351:Q354"/>
    <mergeCell ref="R341:R344"/>
    <mergeCell ref="Q341:Q344"/>
    <mergeCell ref="Q386:Q389"/>
    <mergeCell ref="Q396:Q399"/>
    <mergeCell ref="R396:R399"/>
    <mergeCell ref="Q381:Q384"/>
    <mergeCell ref="R381:R384"/>
    <mergeCell ref="R366:R369"/>
    <mergeCell ref="R376:R379"/>
    <mergeCell ref="Q356:Q359"/>
    <mergeCell ref="R356:R359"/>
    <mergeCell ref="R371:R374"/>
    <mergeCell ref="Q346:Q349"/>
    <mergeCell ref="R321:R324"/>
    <mergeCell ref="P376:P379"/>
    <mergeCell ref="R386:R389"/>
    <mergeCell ref="Q406:Q409"/>
    <mergeCell ref="R406:R409"/>
    <mergeCell ref="P331:P334"/>
    <mergeCell ref="Q371:Q374"/>
    <mergeCell ref="Q331:Q334"/>
    <mergeCell ref="Q306:Q309"/>
    <mergeCell ref="Q311:Q314"/>
    <mergeCell ref="P386:P389"/>
    <mergeCell ref="P401:P404"/>
    <mergeCell ref="P396:P399"/>
    <mergeCell ref="P391:P394"/>
    <mergeCell ref="P336:P339"/>
    <mergeCell ref="P381:P384"/>
    <mergeCell ref="Q326:Q327"/>
    <mergeCell ref="P311:P314"/>
    <mergeCell ref="R306:R309"/>
    <mergeCell ref="R311:R314"/>
    <mergeCell ref="P346:P349"/>
    <mergeCell ref="P306:P309"/>
    <mergeCell ref="P321:P324"/>
    <mergeCell ref="Q536:Q539"/>
    <mergeCell ref="P531:P534"/>
    <mergeCell ref="P536:P539"/>
    <mergeCell ref="P316:P319"/>
    <mergeCell ref="Q336:Q339"/>
    <mergeCell ref="R401:R404"/>
    <mergeCell ref="R351:R354"/>
    <mergeCell ref="P326:P329"/>
    <mergeCell ref="R331:R334"/>
    <mergeCell ref="P356:P359"/>
    <mergeCell ref="P351:P354"/>
    <mergeCell ref="P371:P374"/>
    <mergeCell ref="P341:P344"/>
    <mergeCell ref="P366:P369"/>
    <mergeCell ref="P451:P454"/>
    <mergeCell ref="Q451:Q454"/>
    <mergeCell ref="R451:R454"/>
    <mergeCell ref="Q456:Q458"/>
    <mergeCell ref="R456:R458"/>
    <mergeCell ref="R536:R539"/>
    <mergeCell ref="Q511:Q514"/>
    <mergeCell ref="Q521:Q524"/>
    <mergeCell ref="R526:R529"/>
    <mergeCell ref="R326:R327"/>
    <mergeCell ref="R516:R519"/>
    <mergeCell ref="Q501:Q504"/>
    <mergeCell ref="Q321:Q324"/>
    <mergeCell ref="Q376:Q379"/>
    <mergeCell ref="Q316:Q319"/>
    <mergeCell ref="R391:R394"/>
    <mergeCell ref="Q416:Q419"/>
    <mergeCell ref="S491:S494"/>
    <mergeCell ref="S496:S499"/>
    <mergeCell ref="R316:R319"/>
    <mergeCell ref="R431:R434"/>
    <mergeCell ref="Q421:Q424"/>
    <mergeCell ref="R421:R424"/>
    <mergeCell ref="Q366:Q369"/>
    <mergeCell ref="Q391:Q394"/>
    <mergeCell ref="R336:R339"/>
    <mergeCell ref="R486:R489"/>
    <mergeCell ref="R511:R514"/>
    <mergeCell ref="R506:R509"/>
    <mergeCell ref="R461:R464"/>
    <mergeCell ref="Q441:Q444"/>
    <mergeCell ref="R441:R444"/>
    <mergeCell ref="Q446:Q449"/>
    <mergeCell ref="R446:R449"/>
    <mergeCell ref="P92:P93"/>
    <mergeCell ref="P82:P83"/>
    <mergeCell ref="Q97:Q100"/>
    <mergeCell ref="Q167:Q170"/>
    <mergeCell ref="S72:S75"/>
    <mergeCell ref="T162:T165"/>
    <mergeCell ref="T214:T217"/>
    <mergeCell ref="S167:S170"/>
    <mergeCell ref="T167:T170"/>
    <mergeCell ref="T117:T120"/>
    <mergeCell ref="T192:T195"/>
    <mergeCell ref="S162:S165"/>
    <mergeCell ref="T172:T175"/>
    <mergeCell ref="T157:T160"/>
    <mergeCell ref="T197:T200"/>
    <mergeCell ref="S177:S180"/>
    <mergeCell ref="T177:T180"/>
    <mergeCell ref="S152:S155"/>
    <mergeCell ref="S127:S130"/>
    <mergeCell ref="S122:S125"/>
    <mergeCell ref="S87:S90"/>
    <mergeCell ref="S92:S95"/>
    <mergeCell ref="S202:S205"/>
    <mergeCell ref="S182:S185"/>
    <mergeCell ref="S82:S85"/>
    <mergeCell ref="T82:T85"/>
    <mergeCell ref="T87:T90"/>
    <mergeCell ref="T219:T222"/>
    <mergeCell ref="P69:P70"/>
    <mergeCell ref="P72:P73"/>
    <mergeCell ref="P172:P173"/>
    <mergeCell ref="Q192:Q195"/>
    <mergeCell ref="Q202:Q205"/>
    <mergeCell ref="Q107:Q110"/>
    <mergeCell ref="Q72:Q75"/>
    <mergeCell ref="P122:P125"/>
    <mergeCell ref="Q127:Q130"/>
    <mergeCell ref="P132:P133"/>
    <mergeCell ref="Q87:Q90"/>
    <mergeCell ref="Q92:Q95"/>
    <mergeCell ref="P157:P160"/>
    <mergeCell ref="P117:P120"/>
    <mergeCell ref="P87:P88"/>
    <mergeCell ref="P77:P78"/>
    <mergeCell ref="P134:P135"/>
    <mergeCell ref="P97:P100"/>
    <mergeCell ref="Q102:Q105"/>
    <mergeCell ref="Q67:Q70"/>
    <mergeCell ref="T224:T227"/>
    <mergeCell ref="T229:T232"/>
    <mergeCell ref="T234:T237"/>
    <mergeCell ref="T77:T80"/>
    <mergeCell ref="T92:T95"/>
    <mergeCell ref="T202:T205"/>
    <mergeCell ref="T207:T212"/>
    <mergeCell ref="T122:T125"/>
    <mergeCell ref="T127:T130"/>
    <mergeCell ref="T132:T135"/>
    <mergeCell ref="T97:T100"/>
    <mergeCell ref="T138:T143"/>
    <mergeCell ref="T182:T185"/>
    <mergeCell ref="T187:T190"/>
    <mergeCell ref="T145:T149"/>
    <mergeCell ref="T152:T155"/>
    <mergeCell ref="T102:T105"/>
    <mergeCell ref="R82:R85"/>
    <mergeCell ref="S77:S80"/>
    <mergeCell ref="T72:T75"/>
    <mergeCell ref="S97:S100"/>
    <mergeCell ref="S102:S105"/>
    <mergeCell ref="R117:R120"/>
    <mergeCell ref="P214:P217"/>
    <mergeCell ref="P244:P245"/>
    <mergeCell ref="Q219:Q222"/>
    <mergeCell ref="Q224:Q227"/>
    <mergeCell ref="R127:R130"/>
    <mergeCell ref="R122:R125"/>
    <mergeCell ref="R145:R150"/>
    <mergeCell ref="R214:R217"/>
    <mergeCell ref="R207:R212"/>
    <mergeCell ref="R172:R175"/>
    <mergeCell ref="R167:R170"/>
    <mergeCell ref="R162:R165"/>
    <mergeCell ref="R182:R185"/>
    <mergeCell ref="R157:R160"/>
    <mergeCell ref="P179:P180"/>
    <mergeCell ref="P182:P183"/>
    <mergeCell ref="P184:P185"/>
    <mergeCell ref="P138:P139"/>
    <mergeCell ref="S192:S195"/>
    <mergeCell ref="R197:R200"/>
    <mergeCell ref="R202:R205"/>
    <mergeCell ref="R192:R195"/>
    <mergeCell ref="R224:R227"/>
    <mergeCell ref="R229:R232"/>
    <mergeCell ref="Q82:Q85"/>
    <mergeCell ref="T67:T70"/>
    <mergeCell ref="S67:S68"/>
    <mergeCell ref="S69:S70"/>
    <mergeCell ref="Q77:Q80"/>
    <mergeCell ref="T107:T110"/>
    <mergeCell ref="Q157:Q160"/>
    <mergeCell ref="Q117:Q120"/>
    <mergeCell ref="Q122:Q125"/>
    <mergeCell ref="T112:T115"/>
    <mergeCell ref="R102:R105"/>
    <mergeCell ref="R77:R80"/>
    <mergeCell ref="R67:R68"/>
    <mergeCell ref="R69:R70"/>
    <mergeCell ref="R72:R75"/>
    <mergeCell ref="R97:R100"/>
    <mergeCell ref="R107:R110"/>
    <mergeCell ref="R87:R90"/>
    <mergeCell ref="R92:R95"/>
    <mergeCell ref="R244:R247"/>
    <mergeCell ref="S234:S237"/>
    <mergeCell ref="S224:S227"/>
    <mergeCell ref="S197:S200"/>
    <mergeCell ref="S107:S110"/>
    <mergeCell ref="R254:R257"/>
    <mergeCell ref="P264:P266"/>
    <mergeCell ref="Q259:Q262"/>
    <mergeCell ref="R219:R222"/>
    <mergeCell ref="Q244:Q247"/>
    <mergeCell ref="Q249:Q252"/>
    <mergeCell ref="Q229:Q232"/>
    <mergeCell ref="Q234:Q237"/>
    <mergeCell ref="R239:R242"/>
    <mergeCell ref="Q239:Q242"/>
    <mergeCell ref="S229:S232"/>
    <mergeCell ref="S219:S222"/>
    <mergeCell ref="Q172:Q175"/>
    <mergeCell ref="S172:S175"/>
    <mergeCell ref="Q138:Q143"/>
    <mergeCell ref="Q182:Q185"/>
    <mergeCell ref="Q177:Q180"/>
    <mergeCell ref="R177:R180"/>
    <mergeCell ref="P301:P304"/>
    <mergeCell ref="Q254:Q257"/>
    <mergeCell ref="S214:S217"/>
    <mergeCell ref="S259:S262"/>
    <mergeCell ref="S244:S247"/>
    <mergeCell ref="S249:S252"/>
    <mergeCell ref="R234:R237"/>
    <mergeCell ref="S207:S212"/>
    <mergeCell ref="Q187:Q190"/>
    <mergeCell ref="P202:P205"/>
    <mergeCell ref="R187:R190"/>
    <mergeCell ref="P197:P198"/>
    <mergeCell ref="S187:S190"/>
    <mergeCell ref="S239:S242"/>
    <mergeCell ref="P207:P208"/>
    <mergeCell ref="Q214:Q217"/>
    <mergeCell ref="Q207:Q212"/>
    <mergeCell ref="Q197:Q200"/>
    <mergeCell ref="Q283:Q286"/>
    <mergeCell ref="P189:P190"/>
    <mergeCell ref="P192:P193"/>
    <mergeCell ref="P194:P195"/>
    <mergeCell ref="P209:P210"/>
    <mergeCell ref="R249:R252"/>
    <mergeCell ref="B67:B95"/>
    <mergeCell ref="B264:B267"/>
    <mergeCell ref="P273:P276"/>
    <mergeCell ref="P246:P247"/>
    <mergeCell ref="M209:M210"/>
    <mergeCell ref="M211:M212"/>
    <mergeCell ref="B202:B212"/>
    <mergeCell ref="B162:B200"/>
    <mergeCell ref="B214:B262"/>
    <mergeCell ref="P234:P235"/>
    <mergeCell ref="P224:P225"/>
    <mergeCell ref="P199:P200"/>
    <mergeCell ref="P211:P212"/>
    <mergeCell ref="P187:P188"/>
    <mergeCell ref="B270:B296"/>
    <mergeCell ref="P167:P168"/>
    <mergeCell ref="P177:P178"/>
    <mergeCell ref="P169:P170"/>
    <mergeCell ref="P147:P148"/>
    <mergeCell ref="P149:P150"/>
    <mergeCell ref="P174:P175"/>
    <mergeCell ref="P107:P110"/>
    <mergeCell ref="P102:P105"/>
    <mergeCell ref="P112:P115"/>
    <mergeCell ref="B97:B115"/>
    <mergeCell ref="R138:R143"/>
    <mergeCell ref="S145:S150"/>
    <mergeCell ref="S138:S143"/>
    <mergeCell ref="Q132:Q135"/>
    <mergeCell ref="R132:R135"/>
    <mergeCell ref="P162:P165"/>
    <mergeCell ref="P152:P153"/>
    <mergeCell ref="B117:B160"/>
    <mergeCell ref="S132:S135"/>
    <mergeCell ref="S157:S160"/>
    <mergeCell ref="S117:S120"/>
    <mergeCell ref="R112:R115"/>
    <mergeCell ref="Q145:Q150"/>
    <mergeCell ref="R152:R155"/>
    <mergeCell ref="Q152:Q155"/>
    <mergeCell ref="S112:S115"/>
    <mergeCell ref="P145:P146"/>
    <mergeCell ref="Q112:Q115"/>
    <mergeCell ref="Q162:Q165"/>
    <mergeCell ref="P142:P143"/>
    <mergeCell ref="P154:P155"/>
    <mergeCell ref="P140:P141"/>
    <mergeCell ref="P58:P61"/>
    <mergeCell ref="P43:P46"/>
    <mergeCell ref="P48:P51"/>
    <mergeCell ref="P53:P56"/>
    <mergeCell ref="P3:P6"/>
    <mergeCell ref="Q53:Q56"/>
    <mergeCell ref="R53:R56"/>
    <mergeCell ref="Q58:Q61"/>
    <mergeCell ref="R58:R61"/>
    <mergeCell ref="Q23:Q26"/>
    <mergeCell ref="P23:P26"/>
    <mergeCell ref="R23:R26"/>
    <mergeCell ref="Q48:Q51"/>
    <mergeCell ref="Q43:Q46"/>
    <mergeCell ref="R43:R46"/>
    <mergeCell ref="R28:R31"/>
    <mergeCell ref="Q38:Q41"/>
    <mergeCell ref="R13:R16"/>
    <mergeCell ref="Q18:Q21"/>
    <mergeCell ref="R18:R21"/>
    <mergeCell ref="Q13:Q16"/>
    <mergeCell ref="Q28:Q31"/>
    <mergeCell ref="Q33:Q36"/>
    <mergeCell ref="R33:R36"/>
    <mergeCell ref="I43:I44"/>
    <mergeCell ref="I48:I49"/>
    <mergeCell ref="R48:R51"/>
    <mergeCell ref="P28:P31"/>
    <mergeCell ref="P33:P36"/>
    <mergeCell ref="P38:P41"/>
    <mergeCell ref="P8:P11"/>
    <mergeCell ref="Q3:Q6"/>
    <mergeCell ref="R3:R6"/>
    <mergeCell ref="Q8:Q11"/>
    <mergeCell ref="R8:R11"/>
    <mergeCell ref="P13:P16"/>
    <mergeCell ref="P18:P21"/>
    <mergeCell ref="R38:R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3722-A5F3-4A91-B6EA-0DFDB01D184D}">
  <dimension ref="A1:S80"/>
  <sheetViews>
    <sheetView zoomScale="60" zoomScaleNormal="60" workbookViewId="0">
      <selection activeCell="E18" sqref="E18"/>
    </sheetView>
  </sheetViews>
  <sheetFormatPr baseColWidth="10" defaultColWidth="8.83203125" defaultRowHeight="16" outlineLevelCol="1" x14ac:dyDescent="0.2"/>
  <cols>
    <col min="1" max="2" width="8.83203125" customWidth="1" outlineLevel="1"/>
    <col min="3" max="3" width="8.83203125" style="130"/>
    <col min="4" max="4" width="12.5" customWidth="1"/>
    <col min="5" max="5" width="22.5" customWidth="1"/>
    <col min="6" max="6" width="26.83203125" bestFit="1" customWidth="1"/>
    <col min="7" max="7" width="28.83203125" customWidth="1" outlineLevel="1"/>
    <col min="8" max="8" width="21.83203125" customWidth="1" outlineLevel="1"/>
    <col min="9" max="9" width="20.33203125" customWidth="1" outlineLevel="1"/>
    <col min="10" max="10" width="22.6640625" customWidth="1" outlineLevel="1"/>
    <col min="11" max="11" width="18.6640625" customWidth="1" outlineLevel="1"/>
    <col min="12" max="12" width="24.1640625" customWidth="1"/>
    <col min="13" max="13" width="22.6640625" bestFit="1" customWidth="1"/>
    <col min="14" max="14" width="35.6640625" bestFit="1" customWidth="1"/>
    <col min="15" max="15" width="22.83203125" style="130" bestFit="1" customWidth="1"/>
    <col min="16" max="16" width="21.83203125" bestFit="1" customWidth="1"/>
    <col min="17" max="17" width="20.6640625" customWidth="1"/>
    <col min="18" max="18" width="12.1640625" style="14" bestFit="1" customWidth="1"/>
    <col min="19" max="19" width="35.6640625" bestFit="1" customWidth="1"/>
  </cols>
  <sheetData>
    <row r="1" spans="1:19" s="65" customFormat="1" ht="91.25" customHeight="1" x14ac:dyDescent="0.2">
      <c r="A1" s="713" t="s">
        <v>1816</v>
      </c>
      <c r="B1" s="727" t="s">
        <v>2228</v>
      </c>
      <c r="C1" s="673" t="s">
        <v>2159</v>
      </c>
      <c r="D1" s="674" t="s">
        <v>150</v>
      </c>
      <c r="E1" s="675" t="s">
        <v>153</v>
      </c>
      <c r="F1" s="674" t="s">
        <v>2176</v>
      </c>
      <c r="G1" s="711" t="s">
        <v>2177</v>
      </c>
      <c r="H1" s="712" t="s">
        <v>2226</v>
      </c>
      <c r="I1" s="712" t="s">
        <v>2525</v>
      </c>
      <c r="J1" s="712" t="s">
        <v>2417</v>
      </c>
      <c r="K1" s="712" t="s">
        <v>1477</v>
      </c>
      <c r="L1" s="675" t="s">
        <v>151</v>
      </c>
      <c r="M1" s="675" t="s">
        <v>152</v>
      </c>
      <c r="N1" s="675" t="s">
        <v>2178</v>
      </c>
      <c r="O1" s="675" t="s">
        <v>2368</v>
      </c>
      <c r="P1" s="65" t="s">
        <v>2229</v>
      </c>
      <c r="Q1" s="675" t="s">
        <v>2359</v>
      </c>
      <c r="R1" s="675" t="s">
        <v>2189</v>
      </c>
      <c r="S1" s="675" t="s">
        <v>155</v>
      </c>
    </row>
    <row r="2" spans="1:19" ht="17" x14ac:dyDescent="0.2">
      <c r="A2" s="728"/>
      <c r="B2" s="728"/>
      <c r="C2" s="12" t="s">
        <v>112</v>
      </c>
      <c r="D2" s="42" t="s">
        <v>50</v>
      </c>
      <c r="E2" s="45" t="s">
        <v>843</v>
      </c>
      <c r="F2" s="12"/>
      <c r="G2" s="45"/>
      <c r="H2" s="12"/>
      <c r="I2" s="6"/>
      <c r="J2" s="6"/>
      <c r="K2" s="12"/>
      <c r="L2" s="323" t="s">
        <v>49</v>
      </c>
      <c r="M2" s="12"/>
      <c r="N2" s="701" t="s">
        <v>760</v>
      </c>
      <c r="O2" s="17" t="s">
        <v>446</v>
      </c>
      <c r="P2" s="731"/>
      <c r="Q2" s="12" t="s">
        <v>1547</v>
      </c>
      <c r="R2" s="42">
        <v>544148460</v>
      </c>
      <c r="S2" s="51" t="s">
        <v>395</v>
      </c>
    </row>
    <row r="3" spans="1:19" ht="34" x14ac:dyDescent="0.2">
      <c r="A3" s="728"/>
      <c r="B3" s="728"/>
      <c r="C3" s="12" t="s">
        <v>112</v>
      </c>
      <c r="D3" s="42" t="s">
        <v>1568</v>
      </c>
      <c r="E3" s="12" t="s">
        <v>1348</v>
      </c>
      <c r="F3" s="12"/>
      <c r="G3" s="12"/>
      <c r="H3" s="12"/>
      <c r="I3" s="6"/>
      <c r="J3" s="6"/>
      <c r="K3" s="50"/>
      <c r="L3" s="12" t="s">
        <v>2516</v>
      </c>
      <c r="M3" s="50" t="s">
        <v>844</v>
      </c>
      <c r="N3" s="701" t="s">
        <v>2521</v>
      </c>
      <c r="O3" s="17" t="s">
        <v>446</v>
      </c>
      <c r="P3" s="731"/>
      <c r="Q3" s="12" t="s">
        <v>1547</v>
      </c>
      <c r="R3" s="42">
        <v>544148460</v>
      </c>
      <c r="S3" s="51" t="s">
        <v>845</v>
      </c>
    </row>
    <row r="4" spans="1:19" ht="17" x14ac:dyDescent="0.2">
      <c r="A4" s="728"/>
      <c r="B4" s="728"/>
      <c r="C4" s="12" t="s">
        <v>112</v>
      </c>
      <c r="D4" s="42" t="s">
        <v>336</v>
      </c>
      <c r="E4" s="12" t="s">
        <v>1349</v>
      </c>
      <c r="F4" s="12"/>
      <c r="G4" s="12"/>
      <c r="H4" s="12"/>
      <c r="I4" s="6"/>
      <c r="J4" s="6"/>
      <c r="K4" s="50"/>
      <c r="L4" s="12"/>
      <c r="M4" s="50"/>
      <c r="N4" s="52" t="s">
        <v>396</v>
      </c>
      <c r="O4" s="17" t="s">
        <v>446</v>
      </c>
      <c r="P4" s="731"/>
      <c r="Q4" s="12" t="s">
        <v>1547</v>
      </c>
      <c r="R4" s="42">
        <v>544148460</v>
      </c>
      <c r="S4" s="51"/>
    </row>
    <row r="5" spans="1:19" ht="17" x14ac:dyDescent="0.2">
      <c r="A5" s="728"/>
      <c r="B5" s="728"/>
      <c r="C5" s="12" t="s">
        <v>112</v>
      </c>
      <c r="D5" s="42"/>
      <c r="E5" s="45"/>
      <c r="F5" s="53"/>
      <c r="G5" s="45"/>
      <c r="H5" s="53"/>
      <c r="I5" s="6"/>
      <c r="J5" s="6"/>
      <c r="K5" s="53"/>
      <c r="L5" s="53"/>
      <c r="M5" s="53"/>
      <c r="N5" s="52"/>
      <c r="O5" s="17" t="s">
        <v>446</v>
      </c>
      <c r="P5" s="731"/>
      <c r="Q5" s="12" t="s">
        <v>1547</v>
      </c>
      <c r="R5" s="42">
        <v>544148460</v>
      </c>
      <c r="S5" s="53"/>
    </row>
    <row r="6" spans="1:19" ht="17" x14ac:dyDescent="0.2">
      <c r="A6" s="728"/>
      <c r="B6" s="728"/>
      <c r="C6" s="12" t="s">
        <v>112</v>
      </c>
      <c r="D6" s="12" t="s">
        <v>52</v>
      </c>
      <c r="E6" s="12" t="s">
        <v>397</v>
      </c>
      <c r="F6" s="12"/>
      <c r="G6" s="12"/>
      <c r="H6" s="12"/>
      <c r="I6" s="6"/>
      <c r="J6" s="6"/>
      <c r="K6" s="12"/>
      <c r="L6" s="323" t="s">
        <v>49</v>
      </c>
      <c r="M6" s="12"/>
      <c r="N6" s="52" t="s">
        <v>396</v>
      </c>
      <c r="O6" s="17" t="s">
        <v>257</v>
      </c>
      <c r="P6" s="731"/>
      <c r="Q6" s="12" t="s">
        <v>1547</v>
      </c>
      <c r="R6" s="12">
        <v>542080778</v>
      </c>
      <c r="S6" s="51" t="s">
        <v>399</v>
      </c>
    </row>
    <row r="7" spans="1:19" ht="17" x14ac:dyDescent="0.2">
      <c r="A7" s="728"/>
      <c r="B7" s="728"/>
      <c r="C7" s="12" t="s">
        <v>112</v>
      </c>
      <c r="D7" s="12"/>
      <c r="E7" s="12" t="s">
        <v>400</v>
      </c>
      <c r="F7" s="12"/>
      <c r="G7" s="12"/>
      <c r="H7" s="12"/>
      <c r="I7" s="6"/>
      <c r="J7" s="6"/>
      <c r="K7" s="12"/>
      <c r="L7" s="53"/>
      <c r="M7" s="12" t="s">
        <v>2516</v>
      </c>
      <c r="N7" s="52" t="s">
        <v>396</v>
      </c>
      <c r="O7" s="17" t="s">
        <v>257</v>
      </c>
      <c r="P7" s="731"/>
      <c r="Q7" s="12" t="s">
        <v>1547</v>
      </c>
      <c r="R7" s="12">
        <v>542080778</v>
      </c>
      <c r="S7" s="51" t="s">
        <v>751</v>
      </c>
    </row>
    <row r="8" spans="1:19" ht="17" x14ac:dyDescent="0.2">
      <c r="A8" s="728"/>
      <c r="B8" s="728"/>
      <c r="C8" s="12" t="s">
        <v>112</v>
      </c>
      <c r="D8" s="12" t="s">
        <v>54</v>
      </c>
      <c r="E8" s="12" t="s">
        <v>397</v>
      </c>
      <c r="F8" s="12"/>
      <c r="G8" s="12"/>
      <c r="H8" s="12"/>
      <c r="I8" s="6"/>
      <c r="J8" s="6"/>
      <c r="K8" s="12"/>
      <c r="L8" s="323" t="s">
        <v>49</v>
      </c>
      <c r="M8" s="12"/>
      <c r="N8" s="52" t="s">
        <v>396</v>
      </c>
      <c r="O8" s="17" t="s">
        <v>257</v>
      </c>
      <c r="P8" s="731"/>
      <c r="Q8" s="12" t="s">
        <v>1547</v>
      </c>
      <c r="R8" s="12">
        <v>542080778</v>
      </c>
      <c r="S8" s="51" t="s">
        <v>401</v>
      </c>
    </row>
    <row r="9" spans="1:19" ht="17" x14ac:dyDescent="0.2">
      <c r="A9" s="728"/>
      <c r="B9" s="728"/>
      <c r="C9" s="12" t="s">
        <v>112</v>
      </c>
      <c r="D9" s="12"/>
      <c r="E9" s="12" t="s">
        <v>400</v>
      </c>
      <c r="F9" s="12"/>
      <c r="G9" s="12"/>
      <c r="H9" s="12"/>
      <c r="I9" s="6"/>
      <c r="J9" s="6"/>
      <c r="K9" s="12"/>
      <c r="L9" s="53"/>
      <c r="M9" s="12" t="s">
        <v>2516</v>
      </c>
      <c r="N9" s="52" t="s">
        <v>396</v>
      </c>
      <c r="O9" s="17" t="s">
        <v>257</v>
      </c>
      <c r="P9" s="731"/>
      <c r="Q9" s="12" t="s">
        <v>1547</v>
      </c>
      <c r="R9" s="12">
        <v>542080778</v>
      </c>
      <c r="S9" s="51" t="s">
        <v>752</v>
      </c>
    </row>
    <row r="10" spans="1:19" ht="15.5" customHeight="1" x14ac:dyDescent="0.2">
      <c r="A10" s="728"/>
      <c r="B10" s="728"/>
      <c r="C10" s="12" t="s">
        <v>112</v>
      </c>
      <c r="D10" s="12" t="s">
        <v>339</v>
      </c>
      <c r="E10" s="12" t="s">
        <v>1350</v>
      </c>
      <c r="F10" s="12"/>
      <c r="G10" s="12"/>
      <c r="H10" s="12"/>
      <c r="I10" s="6"/>
      <c r="J10" s="6"/>
      <c r="K10" s="12"/>
      <c r="L10" s="12" t="s">
        <v>2516</v>
      </c>
      <c r="M10" s="12"/>
      <c r="N10" s="12" t="s">
        <v>761</v>
      </c>
      <c r="O10" s="17" t="s">
        <v>265</v>
      </c>
      <c r="P10" s="731"/>
      <c r="Q10" s="12" t="s">
        <v>1547</v>
      </c>
      <c r="R10" s="12">
        <v>542082232</v>
      </c>
      <c r="S10" s="51" t="s">
        <v>405</v>
      </c>
    </row>
    <row r="11" spans="1:19" ht="17" x14ac:dyDescent="0.2">
      <c r="A11" s="728"/>
      <c r="B11" s="728"/>
      <c r="C11" s="12" t="s">
        <v>112</v>
      </c>
      <c r="D11" s="12" t="s">
        <v>340</v>
      </c>
      <c r="E11" s="12" t="s">
        <v>1351</v>
      </c>
      <c r="F11" s="12"/>
      <c r="G11" s="12"/>
      <c r="H11" s="12"/>
      <c r="I11" s="6"/>
      <c r="J11" s="6"/>
      <c r="K11" s="12"/>
      <c r="L11" s="12" t="s">
        <v>2516</v>
      </c>
      <c r="M11" s="12"/>
      <c r="N11" s="12" t="s">
        <v>761</v>
      </c>
      <c r="O11" s="17" t="s">
        <v>265</v>
      </c>
      <c r="P11" s="731"/>
      <c r="Q11" s="12" t="s">
        <v>1547</v>
      </c>
      <c r="R11" s="12">
        <v>542082232</v>
      </c>
      <c r="S11" s="51" t="s">
        <v>406</v>
      </c>
    </row>
    <row r="12" spans="1:19" ht="17" x14ac:dyDescent="0.2">
      <c r="A12" s="728"/>
      <c r="B12" s="728"/>
      <c r="C12" s="12" t="s">
        <v>112</v>
      </c>
      <c r="D12" s="12" t="s">
        <v>341</v>
      </c>
      <c r="E12" s="12" t="s">
        <v>1352</v>
      </c>
      <c r="F12" s="12"/>
      <c r="G12" s="12"/>
      <c r="H12" s="12"/>
      <c r="I12" s="6"/>
      <c r="J12" s="6"/>
      <c r="K12" s="12"/>
      <c r="L12" s="12" t="s">
        <v>2516</v>
      </c>
      <c r="M12" s="12"/>
      <c r="N12" s="12" t="s">
        <v>761</v>
      </c>
      <c r="O12" s="17" t="s">
        <v>265</v>
      </c>
      <c r="P12" s="731"/>
      <c r="Q12" s="12" t="s">
        <v>1547</v>
      </c>
      <c r="R12" s="12">
        <v>542082232</v>
      </c>
      <c r="S12" s="51" t="s">
        <v>407</v>
      </c>
    </row>
    <row r="13" spans="1:19" ht="17" x14ac:dyDescent="0.2">
      <c r="A13" s="728"/>
      <c r="B13" s="728"/>
      <c r="C13" s="12" t="s">
        <v>112</v>
      </c>
      <c r="D13" s="12" t="s">
        <v>342</v>
      </c>
      <c r="E13" s="12" t="s">
        <v>1353</v>
      </c>
      <c r="F13" s="12"/>
      <c r="G13" s="12"/>
      <c r="H13" s="12"/>
      <c r="I13" s="6"/>
      <c r="J13" s="6"/>
      <c r="K13" s="12"/>
      <c r="L13" s="12" t="s">
        <v>2516</v>
      </c>
      <c r="M13" s="12"/>
      <c r="N13" s="12" t="s">
        <v>761</v>
      </c>
      <c r="O13" s="17" t="s">
        <v>265</v>
      </c>
      <c r="P13" s="731"/>
      <c r="Q13" s="12" t="s">
        <v>1547</v>
      </c>
      <c r="R13" s="12">
        <v>542082232</v>
      </c>
      <c r="S13" s="51" t="s">
        <v>408</v>
      </c>
    </row>
    <row r="14" spans="1:19" ht="15.5" customHeight="1" x14ac:dyDescent="0.2">
      <c r="A14" s="728"/>
      <c r="B14" s="728"/>
      <c r="C14" s="12" t="s">
        <v>112</v>
      </c>
      <c r="D14" s="12" t="s">
        <v>343</v>
      </c>
      <c r="E14" s="12" t="s">
        <v>1354</v>
      </c>
      <c r="F14" s="12"/>
      <c r="G14" s="12"/>
      <c r="H14" s="12"/>
      <c r="I14" s="6"/>
      <c r="J14" s="6"/>
      <c r="K14" s="12"/>
      <c r="L14" s="12" t="s">
        <v>2516</v>
      </c>
      <c r="M14" s="12"/>
      <c r="N14" s="12" t="s">
        <v>761</v>
      </c>
      <c r="O14" s="17" t="s">
        <v>271</v>
      </c>
      <c r="P14" s="731"/>
      <c r="Q14" s="12" t="s">
        <v>1547</v>
      </c>
      <c r="R14" s="12">
        <v>542082237</v>
      </c>
      <c r="S14" s="51" t="s">
        <v>405</v>
      </c>
    </row>
    <row r="15" spans="1:19" ht="17" x14ac:dyDescent="0.2">
      <c r="A15" s="728"/>
      <c r="B15" s="728"/>
      <c r="C15" s="12" t="s">
        <v>112</v>
      </c>
      <c r="D15" s="12" t="s">
        <v>344</v>
      </c>
      <c r="E15" s="12" t="s">
        <v>1355</v>
      </c>
      <c r="F15" s="12"/>
      <c r="G15" s="12"/>
      <c r="H15" s="12"/>
      <c r="I15" s="6"/>
      <c r="J15" s="6"/>
      <c r="K15" s="12"/>
      <c r="L15" s="12" t="s">
        <v>2516</v>
      </c>
      <c r="M15" s="12"/>
      <c r="N15" s="12" t="s">
        <v>761</v>
      </c>
      <c r="O15" s="17" t="s">
        <v>271</v>
      </c>
      <c r="P15" s="731"/>
      <c r="Q15" s="12" t="s">
        <v>1547</v>
      </c>
      <c r="R15" s="12">
        <v>542082237</v>
      </c>
      <c r="S15" s="51" t="s">
        <v>406</v>
      </c>
    </row>
    <row r="16" spans="1:19" ht="17" x14ac:dyDescent="0.2">
      <c r="A16" s="728"/>
      <c r="B16" s="728"/>
      <c r="C16" s="12" t="s">
        <v>112</v>
      </c>
      <c r="D16" s="12" t="s">
        <v>345</v>
      </c>
      <c r="E16" s="12" t="s">
        <v>1356</v>
      </c>
      <c r="F16" s="12"/>
      <c r="G16" s="12"/>
      <c r="H16" s="12"/>
      <c r="I16" s="6"/>
      <c r="J16" s="6"/>
      <c r="K16" s="12"/>
      <c r="L16" s="12" t="s">
        <v>2516</v>
      </c>
      <c r="M16" s="12"/>
      <c r="N16" s="12" t="s">
        <v>761</v>
      </c>
      <c r="O16" s="17" t="s">
        <v>271</v>
      </c>
      <c r="P16" s="731"/>
      <c r="Q16" s="12" t="s">
        <v>1547</v>
      </c>
      <c r="R16" s="12">
        <v>542082237</v>
      </c>
      <c r="S16" s="51" t="s">
        <v>407</v>
      </c>
    </row>
    <row r="17" spans="1:19" ht="17" x14ac:dyDescent="0.2">
      <c r="A17" s="728"/>
      <c r="B17" s="728"/>
      <c r="C17" s="12" t="s">
        <v>112</v>
      </c>
      <c r="D17" s="12" t="s">
        <v>346</v>
      </c>
      <c r="E17" s="12" t="s">
        <v>1357</v>
      </c>
      <c r="F17" s="12"/>
      <c r="G17" s="12"/>
      <c r="H17" s="12"/>
      <c r="I17" s="6"/>
      <c r="J17" s="6"/>
      <c r="K17" s="12"/>
      <c r="L17" s="12" t="s">
        <v>2516</v>
      </c>
      <c r="M17" s="12"/>
      <c r="N17" s="12" t="s">
        <v>761</v>
      </c>
      <c r="O17" s="17" t="s">
        <v>271</v>
      </c>
      <c r="P17" s="731"/>
      <c r="Q17" s="12" t="s">
        <v>1547</v>
      </c>
      <c r="R17" s="12">
        <v>542082237</v>
      </c>
      <c r="S17" s="51" t="s">
        <v>408</v>
      </c>
    </row>
    <row r="18" spans="1:19" ht="17" x14ac:dyDescent="0.2">
      <c r="A18" s="730"/>
      <c r="B18" s="730"/>
      <c r="C18" s="12" t="s">
        <v>112</v>
      </c>
      <c r="D18" s="12" t="s">
        <v>56</v>
      </c>
      <c r="E18" s="12" t="s">
        <v>1358</v>
      </c>
      <c r="F18" s="12"/>
      <c r="G18" s="12"/>
      <c r="H18" s="693" t="s">
        <v>2367</v>
      </c>
      <c r="I18" s="6"/>
      <c r="J18" s="6"/>
      <c r="K18" s="12"/>
      <c r="L18" s="323" t="s">
        <v>49</v>
      </c>
      <c r="M18" s="12"/>
      <c r="N18" s="50" t="s">
        <v>760</v>
      </c>
      <c r="O18" s="17" t="s">
        <v>689</v>
      </c>
      <c r="P18" s="731"/>
      <c r="Q18" s="12" t="s">
        <v>1547</v>
      </c>
      <c r="R18" s="165"/>
      <c r="S18" s="51" t="s">
        <v>395</v>
      </c>
    </row>
    <row r="19" spans="1:19" ht="17" x14ac:dyDescent="0.2">
      <c r="A19" s="730"/>
      <c r="B19" s="730"/>
      <c r="C19" s="12" t="s">
        <v>112</v>
      </c>
      <c r="D19" s="12" t="s">
        <v>348</v>
      </c>
      <c r="E19" s="12" t="s">
        <v>1359</v>
      </c>
      <c r="F19" s="12"/>
      <c r="G19" s="12"/>
      <c r="H19" s="12"/>
      <c r="I19" s="6"/>
      <c r="J19" s="6"/>
      <c r="K19" s="12"/>
      <c r="L19" s="12" t="s">
        <v>2516</v>
      </c>
      <c r="M19" s="12"/>
      <c r="N19" s="50" t="s">
        <v>760</v>
      </c>
      <c r="O19" s="17" t="s">
        <v>689</v>
      </c>
      <c r="P19" s="731"/>
      <c r="Q19" s="12" t="s">
        <v>1547</v>
      </c>
      <c r="R19" s="165"/>
      <c r="S19" s="51" t="s">
        <v>406</v>
      </c>
    </row>
    <row r="20" spans="1:19" ht="17" x14ac:dyDescent="0.2">
      <c r="A20" s="730"/>
      <c r="B20" s="730"/>
      <c r="C20" s="12" t="s">
        <v>112</v>
      </c>
      <c r="D20" s="12" t="s">
        <v>349</v>
      </c>
      <c r="E20" s="12" t="s">
        <v>1360</v>
      </c>
      <c r="F20" s="12"/>
      <c r="G20" s="12"/>
      <c r="H20" s="12"/>
      <c r="I20" s="6"/>
      <c r="J20" s="6"/>
      <c r="K20" s="12"/>
      <c r="L20" s="12" t="s">
        <v>2516</v>
      </c>
      <c r="M20" s="12"/>
      <c r="N20" s="12" t="s">
        <v>761</v>
      </c>
      <c r="O20" s="17" t="s">
        <v>689</v>
      </c>
      <c r="P20" s="731"/>
      <c r="Q20" s="12" t="s">
        <v>1547</v>
      </c>
      <c r="R20" s="165"/>
      <c r="S20" s="51" t="s">
        <v>407</v>
      </c>
    </row>
    <row r="21" spans="1:19" ht="17" x14ac:dyDescent="0.2">
      <c r="A21" s="730"/>
      <c r="B21" s="730"/>
      <c r="C21" s="12" t="s">
        <v>112</v>
      </c>
      <c r="D21" s="12" t="s">
        <v>350</v>
      </c>
      <c r="E21" s="12" t="s">
        <v>1360</v>
      </c>
      <c r="F21" s="12"/>
      <c r="G21" s="12"/>
      <c r="H21" s="12"/>
      <c r="I21" s="6"/>
      <c r="J21" s="6"/>
      <c r="K21" s="12"/>
      <c r="L21" s="12" t="s">
        <v>2516</v>
      </c>
      <c r="M21" s="12"/>
      <c r="N21" s="12" t="s">
        <v>761</v>
      </c>
      <c r="O21" s="17" t="s">
        <v>689</v>
      </c>
      <c r="P21" s="731"/>
      <c r="Q21" s="12" t="s">
        <v>1547</v>
      </c>
      <c r="R21" s="165"/>
      <c r="S21" s="51" t="s">
        <v>408</v>
      </c>
    </row>
    <row r="22" spans="1:19" ht="15.5" customHeight="1" x14ac:dyDescent="0.2">
      <c r="A22" s="730"/>
      <c r="B22" s="730"/>
      <c r="C22" s="12" t="s">
        <v>112</v>
      </c>
      <c r="D22" s="45" t="s">
        <v>1342</v>
      </c>
      <c r="E22" s="12"/>
      <c r="F22" s="12"/>
      <c r="G22" s="12"/>
      <c r="H22" s="12"/>
      <c r="I22" s="6"/>
      <c r="J22" s="6"/>
      <c r="K22" s="12"/>
      <c r="L22" s="12" t="s">
        <v>2516</v>
      </c>
      <c r="M22" s="12"/>
      <c r="N22" s="12" t="s">
        <v>413</v>
      </c>
      <c r="O22" s="17" t="s">
        <v>286</v>
      </c>
      <c r="P22" s="731"/>
      <c r="Q22" s="12" t="s">
        <v>1547</v>
      </c>
      <c r="R22" s="165"/>
      <c r="S22" s="51" t="s">
        <v>405</v>
      </c>
    </row>
    <row r="23" spans="1:19" ht="17" x14ac:dyDescent="0.2">
      <c r="A23" s="730"/>
      <c r="B23" s="730"/>
      <c r="C23" s="12" t="s">
        <v>112</v>
      </c>
      <c r="D23" s="12" t="s">
        <v>352</v>
      </c>
      <c r="E23" s="12" t="s">
        <v>1361</v>
      </c>
      <c r="F23" s="12"/>
      <c r="G23" s="12"/>
      <c r="H23" s="12"/>
      <c r="I23" s="6"/>
      <c r="J23" s="6"/>
      <c r="K23" s="12"/>
      <c r="L23" s="12" t="s">
        <v>2516</v>
      </c>
      <c r="M23" s="12"/>
      <c r="N23" s="50" t="s">
        <v>760</v>
      </c>
      <c r="O23" s="17" t="s">
        <v>286</v>
      </c>
      <c r="P23" s="731"/>
      <c r="Q23" s="12" t="s">
        <v>1547</v>
      </c>
      <c r="R23" s="165"/>
      <c r="S23" s="51" t="s">
        <v>406</v>
      </c>
    </row>
    <row r="24" spans="1:19" ht="17" x14ac:dyDescent="0.2">
      <c r="A24" s="730"/>
      <c r="B24" s="730"/>
      <c r="C24" s="12" t="s">
        <v>112</v>
      </c>
      <c r="D24" s="12" t="s">
        <v>353</v>
      </c>
      <c r="E24" s="12" t="s">
        <v>1359</v>
      </c>
      <c r="F24" s="12"/>
      <c r="G24" s="12"/>
      <c r="H24" s="12"/>
      <c r="I24" s="6"/>
      <c r="J24" s="6"/>
      <c r="K24" s="12"/>
      <c r="L24" s="12" t="s">
        <v>2516</v>
      </c>
      <c r="M24" s="12"/>
      <c r="N24" s="12" t="s">
        <v>761</v>
      </c>
      <c r="O24" s="17" t="s">
        <v>286</v>
      </c>
      <c r="P24" s="731"/>
      <c r="Q24" s="12" t="s">
        <v>1547</v>
      </c>
      <c r="R24" s="165"/>
      <c r="S24" s="51" t="s">
        <v>407</v>
      </c>
    </row>
    <row r="25" spans="1:19" ht="17" x14ac:dyDescent="0.2">
      <c r="A25" s="730"/>
      <c r="B25" s="730"/>
      <c r="C25" s="12" t="s">
        <v>112</v>
      </c>
      <c r="D25" s="12" t="s">
        <v>62</v>
      </c>
      <c r="E25" s="12" t="s">
        <v>1362</v>
      </c>
      <c r="F25" s="12"/>
      <c r="G25" s="12"/>
      <c r="H25" s="693" t="s">
        <v>2367</v>
      </c>
      <c r="I25" s="6"/>
      <c r="J25" s="6"/>
      <c r="K25" s="54"/>
      <c r="L25" s="323" t="s">
        <v>49</v>
      </c>
      <c r="M25" s="54"/>
      <c r="N25" s="50" t="s">
        <v>424</v>
      </c>
      <c r="O25" s="17" t="s">
        <v>286</v>
      </c>
      <c r="P25" s="731"/>
      <c r="Q25" s="12" t="s">
        <v>1547</v>
      </c>
      <c r="R25" s="165"/>
      <c r="S25" s="51" t="s">
        <v>418</v>
      </c>
    </row>
    <row r="26" spans="1:19" ht="15.5" customHeight="1" x14ac:dyDescent="0.2">
      <c r="A26" s="730"/>
      <c r="B26" s="730"/>
      <c r="C26" s="12" t="s">
        <v>112</v>
      </c>
      <c r="D26" s="12" t="s">
        <v>355</v>
      </c>
      <c r="E26" s="46"/>
      <c r="F26" s="12"/>
      <c r="G26" s="46"/>
      <c r="H26" s="12"/>
      <c r="I26" s="6"/>
      <c r="J26" s="6"/>
      <c r="K26" s="12"/>
      <c r="L26" s="12" t="s">
        <v>2516</v>
      </c>
      <c r="M26" s="12"/>
      <c r="N26" s="12" t="s">
        <v>760</v>
      </c>
      <c r="O26" s="17" t="s">
        <v>287</v>
      </c>
      <c r="P26" s="731"/>
      <c r="Q26" s="12" t="s">
        <v>1547</v>
      </c>
      <c r="R26" s="165"/>
      <c r="S26" s="51" t="s">
        <v>405</v>
      </c>
    </row>
    <row r="27" spans="1:19" ht="17" x14ac:dyDescent="0.2">
      <c r="A27" s="730"/>
      <c r="B27" s="730"/>
      <c r="C27" s="12" t="s">
        <v>112</v>
      </c>
      <c r="D27" s="12" t="s">
        <v>356</v>
      </c>
      <c r="E27" s="46"/>
      <c r="F27" s="12"/>
      <c r="G27" s="46"/>
      <c r="H27" s="12"/>
      <c r="I27" s="6"/>
      <c r="J27" s="6"/>
      <c r="K27" s="12"/>
      <c r="L27" s="12" t="s">
        <v>2516</v>
      </c>
      <c r="M27" s="12"/>
      <c r="N27" s="12" t="s">
        <v>402</v>
      </c>
      <c r="O27" s="17" t="s">
        <v>287</v>
      </c>
      <c r="P27" s="731"/>
      <c r="Q27" s="12" t="s">
        <v>1547</v>
      </c>
      <c r="R27" s="165"/>
      <c r="S27" s="51" t="s">
        <v>406</v>
      </c>
    </row>
    <row r="28" spans="1:19" ht="17" x14ac:dyDescent="0.2">
      <c r="A28" s="730"/>
      <c r="B28" s="730"/>
      <c r="C28" s="12" t="s">
        <v>112</v>
      </c>
      <c r="D28" s="12" t="s">
        <v>357</v>
      </c>
      <c r="E28" s="46"/>
      <c r="F28" s="12"/>
      <c r="G28" s="46"/>
      <c r="H28" s="12"/>
      <c r="I28" s="6"/>
      <c r="J28" s="6"/>
      <c r="K28" s="12"/>
      <c r="L28" s="12" t="s">
        <v>2516</v>
      </c>
      <c r="M28" s="12"/>
      <c r="N28" s="12" t="s">
        <v>402</v>
      </c>
      <c r="O28" s="17" t="s">
        <v>287</v>
      </c>
      <c r="P28" s="731"/>
      <c r="Q28" s="12" t="s">
        <v>1547</v>
      </c>
      <c r="R28" s="165"/>
      <c r="S28" s="51" t="s">
        <v>407</v>
      </c>
    </row>
    <row r="29" spans="1:19" ht="17" x14ac:dyDescent="0.2">
      <c r="A29" s="730"/>
      <c r="B29" s="730"/>
      <c r="C29" s="12" t="s">
        <v>112</v>
      </c>
      <c r="D29" s="45"/>
      <c r="E29" s="46"/>
      <c r="F29" s="53"/>
      <c r="G29" s="46"/>
      <c r="H29" s="53"/>
      <c r="I29" s="6"/>
      <c r="J29" s="6"/>
      <c r="K29" s="12"/>
      <c r="L29" s="12" t="s">
        <v>2516</v>
      </c>
      <c r="M29" s="12"/>
      <c r="N29" s="12" t="s">
        <v>416</v>
      </c>
      <c r="O29" s="17" t="s">
        <v>287</v>
      </c>
      <c r="P29" s="731"/>
      <c r="Q29" s="12" t="s">
        <v>1547</v>
      </c>
      <c r="R29" s="165"/>
      <c r="S29" s="51" t="s">
        <v>405</v>
      </c>
    </row>
    <row r="30" spans="1:19" ht="15.5" customHeight="1" x14ac:dyDescent="0.2">
      <c r="A30" s="730"/>
      <c r="B30" s="730"/>
      <c r="C30" s="12" t="s">
        <v>112</v>
      </c>
      <c r="D30" s="46" t="s">
        <v>358</v>
      </c>
      <c r="E30" s="12"/>
      <c r="F30" s="12"/>
      <c r="G30" s="12"/>
      <c r="H30" s="12"/>
      <c r="I30" s="6"/>
      <c r="J30" s="6"/>
      <c r="K30" s="12"/>
      <c r="L30" s="12"/>
      <c r="M30" s="12"/>
      <c r="N30" s="12" t="s">
        <v>1652</v>
      </c>
      <c r="O30" s="17" t="s">
        <v>1017</v>
      </c>
      <c r="P30" s="731"/>
      <c r="Q30" s="12" t="s">
        <v>1547</v>
      </c>
      <c r="R30" s="165"/>
      <c r="S30" s="51" t="s">
        <v>405</v>
      </c>
    </row>
    <row r="31" spans="1:19" ht="17" x14ac:dyDescent="0.2">
      <c r="A31" s="730"/>
      <c r="B31" s="730"/>
      <c r="C31" s="12" t="s">
        <v>112</v>
      </c>
      <c r="D31" s="45"/>
      <c r="E31" s="449"/>
      <c r="F31" s="12"/>
      <c r="G31" s="449"/>
      <c r="H31" s="12"/>
      <c r="I31" s="6"/>
      <c r="J31" s="6"/>
      <c r="K31" s="449"/>
      <c r="L31" s="449"/>
      <c r="M31" s="449"/>
      <c r="N31" s="451"/>
      <c r="O31" s="17" t="s">
        <v>1017</v>
      </c>
      <c r="P31" s="731"/>
      <c r="Q31" s="12" t="s">
        <v>1547</v>
      </c>
      <c r="R31" s="165"/>
      <c r="S31" s="452"/>
    </row>
    <row r="32" spans="1:19" ht="17" x14ac:dyDescent="0.2">
      <c r="A32" s="730"/>
      <c r="B32" s="730"/>
      <c r="C32" s="12" t="s">
        <v>112</v>
      </c>
      <c r="D32" s="46" t="s">
        <v>359</v>
      </c>
      <c r="E32" s="12" t="s">
        <v>1363</v>
      </c>
      <c r="F32" s="12"/>
      <c r="G32" s="12"/>
      <c r="H32" s="12"/>
      <c r="I32" s="6"/>
      <c r="J32" s="6"/>
      <c r="K32" s="383"/>
      <c r="L32" s="12" t="s">
        <v>2516</v>
      </c>
      <c r="M32" s="383" t="s">
        <v>421</v>
      </c>
      <c r="N32" s="50" t="s">
        <v>424</v>
      </c>
      <c r="O32" s="17" t="s">
        <v>1017</v>
      </c>
      <c r="P32" s="731"/>
      <c r="Q32" s="12" t="s">
        <v>1547</v>
      </c>
      <c r="R32" s="165"/>
      <c r="S32" s="51" t="s">
        <v>407</v>
      </c>
    </row>
    <row r="33" spans="1:19" ht="46.75" customHeight="1" x14ac:dyDescent="0.2">
      <c r="A33" s="730"/>
      <c r="B33" s="730"/>
      <c r="C33" s="12" t="s">
        <v>112</v>
      </c>
      <c r="D33" s="12" t="s">
        <v>60</v>
      </c>
      <c r="E33" s="12" t="s">
        <v>1364</v>
      </c>
      <c r="F33" s="12"/>
      <c r="G33" s="12"/>
      <c r="H33" s="693" t="s">
        <v>2367</v>
      </c>
      <c r="I33" s="6"/>
      <c r="J33" s="6"/>
      <c r="K33" s="12"/>
      <c r="L33" s="323" t="s">
        <v>49</v>
      </c>
      <c r="M33" s="12"/>
      <c r="N33" s="50" t="s">
        <v>392</v>
      </c>
      <c r="O33" s="17" t="s">
        <v>1017</v>
      </c>
      <c r="P33" s="731"/>
      <c r="Q33" s="12" t="s">
        <v>1547</v>
      </c>
      <c r="R33" s="165"/>
      <c r="S33" s="51" t="s">
        <v>790</v>
      </c>
    </row>
    <row r="34" spans="1:19" ht="15.5" customHeight="1" x14ac:dyDescent="0.2">
      <c r="A34" s="730"/>
      <c r="B34" s="730"/>
      <c r="C34" s="12" t="s">
        <v>112</v>
      </c>
      <c r="D34" s="12" t="s">
        <v>1319</v>
      </c>
      <c r="E34" s="12" t="s">
        <v>1365</v>
      </c>
      <c r="F34" s="12"/>
      <c r="G34" s="12"/>
      <c r="H34" s="12"/>
      <c r="I34" s="6"/>
      <c r="J34" s="6"/>
      <c r="K34" s="12"/>
      <c r="L34" s="12" t="s">
        <v>2516</v>
      </c>
      <c r="M34" s="12"/>
      <c r="N34" s="12" t="s">
        <v>761</v>
      </c>
      <c r="O34" s="17" t="s">
        <v>295</v>
      </c>
      <c r="P34" s="731"/>
      <c r="Q34" s="12" t="s">
        <v>1547</v>
      </c>
      <c r="R34" s="165"/>
      <c r="S34" s="51" t="s">
        <v>405</v>
      </c>
    </row>
    <row r="35" spans="1:19" ht="17" x14ac:dyDescent="0.2">
      <c r="A35" s="730"/>
      <c r="B35" s="730"/>
      <c r="C35" s="12" t="s">
        <v>112</v>
      </c>
      <c r="D35" s="12" t="s">
        <v>1320</v>
      </c>
      <c r="E35" s="12" t="s">
        <v>1366</v>
      </c>
      <c r="F35" s="12"/>
      <c r="G35" s="12"/>
      <c r="H35" s="12"/>
      <c r="I35" s="6"/>
      <c r="J35" s="6"/>
      <c r="K35" s="12"/>
      <c r="L35" s="12" t="s">
        <v>2516</v>
      </c>
      <c r="M35" s="12"/>
      <c r="N35" s="50" t="s">
        <v>760</v>
      </c>
      <c r="O35" s="17" t="s">
        <v>295</v>
      </c>
      <c r="P35" s="731"/>
      <c r="Q35" s="12" t="s">
        <v>1547</v>
      </c>
      <c r="R35" s="165"/>
      <c r="S35" s="51" t="s">
        <v>406</v>
      </c>
    </row>
    <row r="36" spans="1:19" ht="17" x14ac:dyDescent="0.2">
      <c r="A36" s="730"/>
      <c r="B36" s="730"/>
      <c r="C36" s="12" t="s">
        <v>112</v>
      </c>
      <c r="D36" s="53"/>
      <c r="E36" s="289"/>
      <c r="F36" s="53"/>
      <c r="G36" s="289"/>
      <c r="H36" s="53"/>
      <c r="I36" s="6"/>
      <c r="J36" s="6"/>
      <c r="K36" s="289"/>
      <c r="L36" s="289"/>
      <c r="M36" s="289"/>
      <c r="N36" s="289"/>
      <c r="O36" s="17" t="s">
        <v>295</v>
      </c>
      <c r="P36" s="731"/>
      <c r="Q36" s="12" t="s">
        <v>1547</v>
      </c>
      <c r="R36" s="165"/>
      <c r="S36" s="289"/>
    </row>
    <row r="37" spans="1:19" ht="46.75" customHeight="1" x14ac:dyDescent="0.2">
      <c r="A37" s="45"/>
      <c r="B37" s="45"/>
      <c r="C37" s="12" t="s">
        <v>112</v>
      </c>
      <c r="D37" s="42" t="s">
        <v>1339</v>
      </c>
      <c r="E37" s="12" t="s">
        <v>1367</v>
      </c>
      <c r="F37" s="12"/>
      <c r="G37" s="12"/>
      <c r="H37" s="693" t="s">
        <v>2367</v>
      </c>
      <c r="I37" s="6"/>
      <c r="J37" s="6"/>
      <c r="K37" s="12"/>
      <c r="L37" s="323" t="s">
        <v>49</v>
      </c>
      <c r="M37" s="12"/>
      <c r="N37" s="50" t="s">
        <v>760</v>
      </c>
      <c r="O37" s="17" t="s">
        <v>295</v>
      </c>
      <c r="P37" s="731"/>
      <c r="Q37" s="12" t="s">
        <v>1547</v>
      </c>
      <c r="R37" s="165"/>
      <c r="S37" s="51" t="s">
        <v>418</v>
      </c>
    </row>
    <row r="38" spans="1:19" ht="15.5" customHeight="1" x14ac:dyDescent="0.2">
      <c r="A38" s="728"/>
      <c r="B38" s="728"/>
      <c r="C38" s="12" t="s">
        <v>112</v>
      </c>
      <c r="D38" s="12" t="s">
        <v>362</v>
      </c>
      <c r="E38" s="12" t="s">
        <v>1368</v>
      </c>
      <c r="F38" s="12"/>
      <c r="G38" s="12"/>
      <c r="H38" s="12"/>
      <c r="I38" s="6"/>
      <c r="J38" s="6"/>
      <c r="K38" s="12"/>
      <c r="L38" s="12" t="s">
        <v>2516</v>
      </c>
      <c r="M38" s="12"/>
      <c r="N38" s="50" t="s">
        <v>424</v>
      </c>
      <c r="O38" s="17" t="s">
        <v>1035</v>
      </c>
      <c r="P38" s="731"/>
      <c r="Q38" s="12" t="s">
        <v>1547</v>
      </c>
      <c r="R38" s="165"/>
      <c r="S38" s="51" t="s">
        <v>405</v>
      </c>
    </row>
    <row r="39" spans="1:19" ht="17" x14ac:dyDescent="0.2">
      <c r="A39" s="728"/>
      <c r="B39" s="728"/>
      <c r="C39" s="12" t="s">
        <v>112</v>
      </c>
      <c r="D39" s="12" t="s">
        <v>363</v>
      </c>
      <c r="E39" s="12" t="s">
        <v>1369</v>
      </c>
      <c r="F39" s="12"/>
      <c r="G39" s="12"/>
      <c r="H39" s="12"/>
      <c r="I39" s="6"/>
      <c r="J39" s="6"/>
      <c r="K39" s="12"/>
      <c r="L39" s="12" t="s">
        <v>2516</v>
      </c>
      <c r="M39" s="12"/>
      <c r="N39" s="50" t="s">
        <v>424</v>
      </c>
      <c r="O39" s="17" t="s">
        <v>1035</v>
      </c>
      <c r="P39" s="731"/>
      <c r="Q39" s="12" t="s">
        <v>1547</v>
      </c>
      <c r="R39" s="165"/>
      <c r="S39" s="51" t="s">
        <v>406</v>
      </c>
    </row>
    <row r="40" spans="1:19" ht="17" x14ac:dyDescent="0.2">
      <c r="A40" s="728"/>
      <c r="B40" s="728"/>
      <c r="C40" s="12" t="s">
        <v>112</v>
      </c>
      <c r="D40" s="12" t="s">
        <v>364</v>
      </c>
      <c r="E40" s="12" t="s">
        <v>1370</v>
      </c>
      <c r="F40" s="12"/>
      <c r="G40" s="12"/>
      <c r="H40" s="12"/>
      <c r="I40" s="6"/>
      <c r="J40" s="6"/>
      <c r="K40" s="12"/>
      <c r="L40" s="12" t="s">
        <v>2516</v>
      </c>
      <c r="M40" s="12"/>
      <c r="N40" s="50" t="s">
        <v>424</v>
      </c>
      <c r="O40" s="17" t="s">
        <v>1035</v>
      </c>
      <c r="P40" s="731"/>
      <c r="Q40" s="12" t="s">
        <v>1547</v>
      </c>
      <c r="R40" s="165"/>
      <c r="S40" s="51" t="s">
        <v>407</v>
      </c>
    </row>
    <row r="41" spans="1:19" ht="93.5" customHeight="1" x14ac:dyDescent="0.2">
      <c r="A41" s="728"/>
      <c r="B41" s="728"/>
      <c r="C41" s="12" t="s">
        <v>112</v>
      </c>
      <c r="D41" s="12" t="s">
        <v>64</v>
      </c>
      <c r="E41" s="12" t="s">
        <v>1371</v>
      </c>
      <c r="F41" s="12"/>
      <c r="G41" s="12"/>
      <c r="H41" s="693" t="s">
        <v>2367</v>
      </c>
      <c r="I41" s="6"/>
      <c r="J41" s="6"/>
      <c r="K41" s="12"/>
      <c r="L41" s="227" t="s">
        <v>2520</v>
      </c>
      <c r="M41" s="12"/>
      <c r="N41" s="50" t="s">
        <v>760</v>
      </c>
      <c r="O41" s="17" t="s">
        <v>1035</v>
      </c>
      <c r="P41" s="731"/>
      <c r="Q41" s="12" t="s">
        <v>1547</v>
      </c>
      <c r="R41" s="165"/>
      <c r="S41" s="51" t="s">
        <v>418</v>
      </c>
    </row>
    <row r="42" spans="1:19" ht="15.5" customHeight="1" x14ac:dyDescent="0.2">
      <c r="A42" s="728"/>
      <c r="B42" s="728"/>
      <c r="C42" s="12" t="s">
        <v>112</v>
      </c>
      <c r="D42" s="12" t="s">
        <v>365</v>
      </c>
      <c r="E42" s="12" t="s">
        <v>1372</v>
      </c>
      <c r="F42" s="12"/>
      <c r="G42" s="12"/>
      <c r="H42" s="12"/>
      <c r="I42" s="6"/>
      <c r="J42" s="6"/>
      <c r="K42" s="12"/>
      <c r="L42" s="12" t="s">
        <v>2516</v>
      </c>
      <c r="M42" s="12"/>
      <c r="N42" s="12" t="s">
        <v>761</v>
      </c>
      <c r="O42" s="17" t="s">
        <v>1044</v>
      </c>
      <c r="P42" s="731"/>
      <c r="Q42" s="12" t="s">
        <v>1547</v>
      </c>
      <c r="R42" s="165"/>
      <c r="S42" s="51" t="s">
        <v>405</v>
      </c>
    </row>
    <row r="43" spans="1:19" ht="17" x14ac:dyDescent="0.2">
      <c r="A43" s="728"/>
      <c r="B43" s="728"/>
      <c r="C43" s="12" t="s">
        <v>112</v>
      </c>
      <c r="D43" s="12" t="s">
        <v>366</v>
      </c>
      <c r="E43" s="12" t="s">
        <v>994</v>
      </c>
      <c r="F43" s="12"/>
      <c r="G43" s="12"/>
      <c r="H43" s="12"/>
      <c r="I43" s="6"/>
      <c r="J43" s="6"/>
      <c r="K43" s="12"/>
      <c r="L43" s="12" t="s">
        <v>2516</v>
      </c>
      <c r="M43" s="12"/>
      <c r="N43" s="12" t="s">
        <v>761</v>
      </c>
      <c r="O43" s="17" t="s">
        <v>1044</v>
      </c>
      <c r="P43" s="731"/>
      <c r="Q43" s="12" t="s">
        <v>1547</v>
      </c>
      <c r="R43" s="165"/>
      <c r="S43" s="51" t="s">
        <v>406</v>
      </c>
    </row>
    <row r="44" spans="1:19" ht="17" x14ac:dyDescent="0.2">
      <c r="A44" s="728"/>
      <c r="B44" s="728"/>
      <c r="C44" s="12" t="s">
        <v>112</v>
      </c>
      <c r="D44" s="12" t="s">
        <v>367</v>
      </c>
      <c r="E44" s="12" t="s">
        <v>1373</v>
      </c>
      <c r="F44" s="12"/>
      <c r="G44" s="12"/>
      <c r="H44" s="12"/>
      <c r="I44" s="6"/>
      <c r="J44" s="6"/>
      <c r="K44" s="12"/>
      <c r="L44" s="12" t="s">
        <v>2516</v>
      </c>
      <c r="M44" s="12"/>
      <c r="N44" s="50" t="s">
        <v>760</v>
      </c>
      <c r="O44" s="17" t="s">
        <v>1044</v>
      </c>
      <c r="P44" s="731"/>
      <c r="Q44" s="12" t="s">
        <v>1547</v>
      </c>
      <c r="R44" s="165"/>
      <c r="S44" s="51" t="s">
        <v>407</v>
      </c>
    </row>
    <row r="45" spans="1:19" ht="17" x14ac:dyDescent="0.2">
      <c r="A45" s="728"/>
      <c r="B45" s="728"/>
      <c r="C45" s="12" t="s">
        <v>112</v>
      </c>
      <c r="D45" s="12" t="s">
        <v>1655</v>
      </c>
      <c r="E45" s="12" t="s">
        <v>1653</v>
      </c>
      <c r="F45" s="53"/>
      <c r="G45" s="12"/>
      <c r="H45" s="53"/>
      <c r="I45" s="6"/>
      <c r="J45" s="6"/>
      <c r="K45" s="53"/>
      <c r="L45" s="12" t="s">
        <v>2516</v>
      </c>
      <c r="M45" s="53"/>
      <c r="N45" s="53"/>
      <c r="O45" s="17" t="s">
        <v>1044</v>
      </c>
      <c r="P45" s="731"/>
      <c r="Q45" s="12" t="s">
        <v>1547</v>
      </c>
      <c r="R45" s="165"/>
      <c r="S45" s="51" t="s">
        <v>1654</v>
      </c>
    </row>
    <row r="46" spans="1:19" ht="15.5" customHeight="1" x14ac:dyDescent="0.2">
      <c r="A46" s="728"/>
      <c r="B46" s="728"/>
      <c r="C46" s="12" t="s">
        <v>112</v>
      </c>
      <c r="D46" s="12" t="s">
        <v>368</v>
      </c>
      <c r="E46" s="12" t="s">
        <v>1366</v>
      </c>
      <c r="F46" s="12"/>
      <c r="G46" s="12"/>
      <c r="H46" s="12"/>
      <c r="I46" s="6"/>
      <c r="J46" s="6"/>
      <c r="K46" s="12"/>
      <c r="L46" s="12" t="s">
        <v>2516</v>
      </c>
      <c r="M46" s="12"/>
      <c r="N46" s="50" t="s">
        <v>760</v>
      </c>
      <c r="O46" s="17" t="s">
        <v>2522</v>
      </c>
      <c r="P46" s="731"/>
      <c r="Q46" s="12" t="s">
        <v>1547</v>
      </c>
      <c r="R46" s="165"/>
      <c r="S46" s="51" t="s">
        <v>405</v>
      </c>
    </row>
    <row r="47" spans="1:19" ht="17" x14ac:dyDescent="0.2">
      <c r="A47" s="728"/>
      <c r="B47" s="728"/>
      <c r="C47" s="12" t="s">
        <v>112</v>
      </c>
      <c r="D47" s="12" t="s">
        <v>369</v>
      </c>
      <c r="E47" s="12" t="s">
        <v>1374</v>
      </c>
      <c r="F47" s="12"/>
      <c r="G47" s="12"/>
      <c r="H47" s="12"/>
      <c r="I47" s="6"/>
      <c r="J47" s="6"/>
      <c r="K47" s="12"/>
      <c r="L47" s="12" t="s">
        <v>2516</v>
      </c>
      <c r="M47" s="12"/>
      <c r="N47" s="12" t="s">
        <v>761</v>
      </c>
      <c r="O47" s="17" t="s">
        <v>2522</v>
      </c>
      <c r="P47" s="731"/>
      <c r="Q47" s="12" t="s">
        <v>1547</v>
      </c>
      <c r="R47" s="165"/>
      <c r="S47" s="51" t="s">
        <v>406</v>
      </c>
    </row>
    <row r="48" spans="1:19" ht="17" x14ac:dyDescent="0.2">
      <c r="A48" s="728"/>
      <c r="B48" s="728"/>
      <c r="C48" s="12" t="s">
        <v>112</v>
      </c>
      <c r="D48" s="12" t="s">
        <v>370</v>
      </c>
      <c r="E48" s="12" t="s">
        <v>1375</v>
      </c>
      <c r="F48" s="12"/>
      <c r="G48" s="12"/>
      <c r="H48" s="12"/>
      <c r="I48" s="6"/>
      <c r="J48" s="6"/>
      <c r="K48" s="12"/>
      <c r="L48" s="12" t="s">
        <v>2516</v>
      </c>
      <c r="M48" s="12"/>
      <c r="N48" s="12" t="s">
        <v>761</v>
      </c>
      <c r="O48" s="17" t="s">
        <v>2522</v>
      </c>
      <c r="P48" s="731"/>
      <c r="Q48" s="12" t="s">
        <v>1547</v>
      </c>
      <c r="R48" s="165"/>
      <c r="S48" s="51" t="s">
        <v>407</v>
      </c>
    </row>
    <row r="49" spans="1:19" ht="17" x14ac:dyDescent="0.2">
      <c r="A49" s="728"/>
      <c r="B49" s="728"/>
      <c r="C49" s="12" t="s">
        <v>112</v>
      </c>
      <c r="D49" s="12" t="s">
        <v>371</v>
      </c>
      <c r="E49" s="12" t="s">
        <v>1376</v>
      </c>
      <c r="F49" s="53"/>
      <c r="G49" s="12"/>
      <c r="H49" s="53"/>
      <c r="I49" s="6"/>
      <c r="J49" s="6"/>
      <c r="K49" s="12"/>
      <c r="L49" s="12" t="s">
        <v>2516</v>
      </c>
      <c r="M49" s="12"/>
      <c r="N49" s="50" t="s">
        <v>760</v>
      </c>
      <c r="O49" s="17" t="s">
        <v>2522</v>
      </c>
      <c r="P49" s="731"/>
      <c r="Q49" s="12" t="s">
        <v>1547</v>
      </c>
      <c r="R49" s="165"/>
      <c r="S49" s="51" t="s">
        <v>408</v>
      </c>
    </row>
    <row r="50" spans="1:19" ht="15.5" customHeight="1" x14ac:dyDescent="0.2">
      <c r="A50" s="728"/>
      <c r="B50" s="728"/>
      <c r="C50" s="12" t="s">
        <v>112</v>
      </c>
      <c r="D50" s="12" t="s">
        <v>1340</v>
      </c>
      <c r="E50" s="12" t="s">
        <v>1377</v>
      </c>
      <c r="F50" s="12"/>
      <c r="G50" s="12"/>
      <c r="H50" s="12"/>
      <c r="I50" s="6"/>
      <c r="J50" s="6"/>
      <c r="K50" s="12"/>
      <c r="L50" s="12" t="s">
        <v>2516</v>
      </c>
      <c r="M50" s="12"/>
      <c r="N50" s="50" t="s">
        <v>424</v>
      </c>
      <c r="O50" s="17" t="s">
        <v>2523</v>
      </c>
      <c r="P50" s="731"/>
      <c r="Q50" s="12" t="s">
        <v>1547</v>
      </c>
      <c r="R50" s="165"/>
      <c r="S50" s="51" t="s">
        <v>405</v>
      </c>
    </row>
    <row r="51" spans="1:19" ht="17" x14ac:dyDescent="0.2">
      <c r="A51" s="728"/>
      <c r="B51" s="728"/>
      <c r="C51" s="12" t="s">
        <v>112</v>
      </c>
      <c r="D51" s="12"/>
      <c r="E51" s="289"/>
      <c r="F51" s="53"/>
      <c r="G51" s="289"/>
      <c r="H51" s="53"/>
      <c r="I51" s="6"/>
      <c r="J51" s="6"/>
      <c r="K51" s="289"/>
      <c r="L51" s="289"/>
      <c r="M51" s="289"/>
      <c r="N51" s="289"/>
      <c r="O51" s="17" t="s">
        <v>2523</v>
      </c>
      <c r="P51" s="731"/>
      <c r="Q51" s="12" t="s">
        <v>1547</v>
      </c>
      <c r="R51" s="165"/>
      <c r="S51" s="289"/>
    </row>
    <row r="52" spans="1:19" ht="17" x14ac:dyDescent="0.2">
      <c r="A52" s="728"/>
      <c r="B52" s="728"/>
      <c r="C52" s="12" t="s">
        <v>112</v>
      </c>
      <c r="D52" s="12"/>
      <c r="E52" s="289"/>
      <c r="F52" s="53"/>
      <c r="G52" s="289"/>
      <c r="H52" s="53"/>
      <c r="I52" s="6"/>
      <c r="J52" s="6"/>
      <c r="K52" s="289"/>
      <c r="L52" s="289"/>
      <c r="M52" s="289"/>
      <c r="N52" s="289"/>
      <c r="O52" s="17" t="s">
        <v>2523</v>
      </c>
      <c r="P52" s="731"/>
      <c r="Q52" s="12" t="s">
        <v>1547</v>
      </c>
      <c r="R52" s="165"/>
      <c r="S52" s="289"/>
    </row>
    <row r="53" spans="1:19" ht="17" x14ac:dyDescent="0.2">
      <c r="A53" s="728"/>
      <c r="B53" s="728"/>
      <c r="C53" s="12" t="s">
        <v>112</v>
      </c>
      <c r="D53" s="53"/>
      <c r="E53" s="289"/>
      <c r="F53" s="53"/>
      <c r="G53" s="289"/>
      <c r="H53" s="53"/>
      <c r="I53" s="6"/>
      <c r="J53" s="6"/>
      <c r="K53" s="289"/>
      <c r="L53" s="289"/>
      <c r="M53" s="289"/>
      <c r="N53" s="289"/>
      <c r="O53" s="17" t="s">
        <v>2523</v>
      </c>
      <c r="P53" s="731"/>
      <c r="Q53" s="12" t="s">
        <v>1547</v>
      </c>
      <c r="R53" s="165"/>
      <c r="S53" s="289"/>
    </row>
    <row r="54" spans="1:19" ht="15.5" customHeight="1" x14ac:dyDescent="0.2">
      <c r="A54" s="83"/>
      <c r="B54" s="83"/>
      <c r="C54" s="12" t="s">
        <v>112</v>
      </c>
      <c r="D54" s="12" t="s">
        <v>373</v>
      </c>
      <c r="E54" s="12" t="s">
        <v>1378</v>
      </c>
      <c r="F54" s="12"/>
      <c r="G54" s="12"/>
      <c r="H54" s="12"/>
      <c r="I54" s="6"/>
      <c r="J54" s="6"/>
      <c r="K54" s="12"/>
      <c r="L54" s="12" t="s">
        <v>2516</v>
      </c>
      <c r="M54" s="12"/>
      <c r="N54" s="50" t="s">
        <v>760</v>
      </c>
      <c r="O54" s="17" t="s">
        <v>2230</v>
      </c>
      <c r="P54" s="731"/>
      <c r="Q54" s="12" t="s">
        <v>1547</v>
      </c>
      <c r="R54" s="165"/>
      <c r="S54" s="51" t="s">
        <v>405</v>
      </c>
    </row>
    <row r="55" spans="1:19" ht="17" x14ac:dyDescent="0.2">
      <c r="A55" s="83"/>
      <c r="B55" s="83"/>
      <c r="C55" s="12" t="s">
        <v>112</v>
      </c>
      <c r="D55" s="12" t="s">
        <v>374</v>
      </c>
      <c r="E55" s="12" t="s">
        <v>1379</v>
      </c>
      <c r="F55" s="12"/>
      <c r="G55" s="12"/>
      <c r="H55" s="12"/>
      <c r="I55" s="6"/>
      <c r="J55" s="6"/>
      <c r="K55" s="12"/>
      <c r="L55" s="12" t="s">
        <v>2516</v>
      </c>
      <c r="M55" s="12"/>
      <c r="N55" s="50" t="s">
        <v>760</v>
      </c>
      <c r="O55" s="17" t="s">
        <v>2230</v>
      </c>
      <c r="P55" s="731"/>
      <c r="Q55" s="12" t="s">
        <v>1547</v>
      </c>
      <c r="R55" s="165"/>
      <c r="S55" s="51" t="s">
        <v>406</v>
      </c>
    </row>
    <row r="56" spans="1:19" ht="17" x14ac:dyDescent="0.2">
      <c r="A56" s="83"/>
      <c r="B56" s="83"/>
      <c r="C56" s="12" t="s">
        <v>112</v>
      </c>
      <c r="D56" s="12" t="s">
        <v>375</v>
      </c>
      <c r="E56" s="12" t="s">
        <v>1380</v>
      </c>
      <c r="F56" s="12"/>
      <c r="G56" s="12"/>
      <c r="H56" s="12"/>
      <c r="I56" s="6"/>
      <c r="J56" s="6"/>
      <c r="K56" s="12"/>
      <c r="L56" s="12" t="s">
        <v>2516</v>
      </c>
      <c r="M56" s="12"/>
      <c r="N56" s="50" t="s">
        <v>760</v>
      </c>
      <c r="O56" s="17" t="s">
        <v>2230</v>
      </c>
      <c r="P56" s="731"/>
      <c r="Q56" s="12" t="s">
        <v>1547</v>
      </c>
      <c r="R56" s="165"/>
      <c r="S56" s="51" t="s">
        <v>407</v>
      </c>
    </row>
    <row r="57" spans="1:19" ht="17" x14ac:dyDescent="0.2">
      <c r="A57" s="83"/>
      <c r="B57" s="83"/>
      <c r="C57" s="12" t="s">
        <v>112</v>
      </c>
      <c r="D57" s="12" t="s">
        <v>376</v>
      </c>
      <c r="E57" s="12" t="s">
        <v>1381</v>
      </c>
      <c r="F57" s="12"/>
      <c r="G57" s="12"/>
      <c r="H57" s="12"/>
      <c r="I57" s="6"/>
      <c r="J57" s="6"/>
      <c r="K57" s="12"/>
      <c r="L57" s="12" t="s">
        <v>2516</v>
      </c>
      <c r="M57" s="12"/>
      <c r="N57" s="50" t="s">
        <v>760</v>
      </c>
      <c r="O57" s="17" t="s">
        <v>2230</v>
      </c>
      <c r="P57" s="731"/>
      <c r="Q57" s="12" t="s">
        <v>1547</v>
      </c>
      <c r="R57" s="165"/>
      <c r="S57" s="51" t="s">
        <v>408</v>
      </c>
    </row>
    <row r="58" spans="1:19" ht="15.5" customHeight="1" x14ac:dyDescent="0.2">
      <c r="A58" s="83"/>
      <c r="B58" s="83"/>
      <c r="C58" s="12" t="s">
        <v>112</v>
      </c>
      <c r="D58" s="12" t="s">
        <v>377</v>
      </c>
      <c r="E58" s="12" t="s">
        <v>1382</v>
      </c>
      <c r="F58" s="12"/>
      <c r="G58" s="12"/>
      <c r="H58" s="12"/>
      <c r="I58" s="6"/>
      <c r="J58" s="6"/>
      <c r="K58" s="12"/>
      <c r="L58" s="12" t="s">
        <v>2516</v>
      </c>
      <c r="M58" s="12"/>
      <c r="N58" s="50" t="s">
        <v>760</v>
      </c>
      <c r="O58" s="17" t="s">
        <v>171</v>
      </c>
      <c r="P58" s="731"/>
      <c r="Q58" s="12" t="s">
        <v>1547</v>
      </c>
      <c r="R58" s="165"/>
      <c r="S58" s="51" t="s">
        <v>405</v>
      </c>
    </row>
    <row r="59" spans="1:19" ht="17" x14ac:dyDescent="0.2">
      <c r="A59" s="83"/>
      <c r="B59" s="83"/>
      <c r="C59" s="12" t="s">
        <v>112</v>
      </c>
      <c r="D59" s="12" t="s">
        <v>378</v>
      </c>
      <c r="E59" s="12" t="s">
        <v>1383</v>
      </c>
      <c r="F59" s="12"/>
      <c r="G59" s="12"/>
      <c r="H59" s="12"/>
      <c r="I59" s="6"/>
      <c r="J59" s="6"/>
      <c r="K59" s="12"/>
      <c r="L59" s="12" t="s">
        <v>2516</v>
      </c>
      <c r="M59" s="12"/>
      <c r="N59" s="50" t="s">
        <v>760</v>
      </c>
      <c r="O59" s="17" t="s">
        <v>171</v>
      </c>
      <c r="P59" s="731"/>
      <c r="Q59" s="12" t="s">
        <v>1547</v>
      </c>
      <c r="R59" s="165"/>
      <c r="S59" s="51" t="s">
        <v>406</v>
      </c>
    </row>
    <row r="60" spans="1:19" ht="17" x14ac:dyDescent="0.2">
      <c r="A60" s="83"/>
      <c r="B60" s="83"/>
      <c r="C60" s="12" t="s">
        <v>112</v>
      </c>
      <c r="D60" s="12" t="s">
        <v>379</v>
      </c>
      <c r="E60" s="12" t="s">
        <v>1384</v>
      </c>
      <c r="F60" s="12"/>
      <c r="G60" s="12"/>
      <c r="H60" s="12"/>
      <c r="I60" s="6"/>
      <c r="J60" s="6"/>
      <c r="K60" s="12"/>
      <c r="L60" s="12" t="s">
        <v>2516</v>
      </c>
      <c r="M60" s="12"/>
      <c r="N60" s="50" t="s">
        <v>760</v>
      </c>
      <c r="O60" s="17" t="s">
        <v>171</v>
      </c>
      <c r="P60" s="731"/>
      <c r="Q60" s="12" t="s">
        <v>1547</v>
      </c>
      <c r="R60" s="165"/>
      <c r="S60" s="51" t="s">
        <v>407</v>
      </c>
    </row>
    <row r="61" spans="1:19" ht="17" x14ac:dyDescent="0.2">
      <c r="A61" s="83"/>
      <c r="B61" s="83"/>
      <c r="C61" s="12" t="s">
        <v>112</v>
      </c>
      <c r="D61" s="12" t="s">
        <v>380</v>
      </c>
      <c r="E61" s="12" t="s">
        <v>1385</v>
      </c>
      <c r="F61" s="12"/>
      <c r="G61" s="12"/>
      <c r="H61" s="12"/>
      <c r="I61" s="6"/>
      <c r="J61" s="6"/>
      <c r="K61" s="12"/>
      <c r="L61" s="12" t="s">
        <v>2516</v>
      </c>
      <c r="M61" s="12"/>
      <c r="N61" s="50" t="s">
        <v>760</v>
      </c>
      <c r="O61" s="17" t="s">
        <v>171</v>
      </c>
      <c r="P61" s="731"/>
      <c r="Q61" s="12" t="s">
        <v>1547</v>
      </c>
      <c r="R61" s="165"/>
      <c r="S61" s="51" t="s">
        <v>408</v>
      </c>
    </row>
    <row r="62" spans="1:19" ht="15.5" customHeight="1" x14ac:dyDescent="0.2">
      <c r="A62" s="83"/>
      <c r="B62" s="83"/>
      <c r="C62" s="12" t="s">
        <v>112</v>
      </c>
      <c r="D62" s="12" t="s">
        <v>381</v>
      </c>
      <c r="E62" s="12" t="s">
        <v>1386</v>
      </c>
      <c r="F62" s="12"/>
      <c r="G62" s="12"/>
      <c r="H62" s="12"/>
      <c r="I62" s="6"/>
      <c r="J62" s="6"/>
      <c r="K62" s="12"/>
      <c r="L62" s="12" t="s">
        <v>2516</v>
      </c>
      <c r="M62" s="12"/>
      <c r="N62" s="50" t="s">
        <v>760</v>
      </c>
      <c r="O62" s="17" t="s">
        <v>178</v>
      </c>
      <c r="P62" s="731"/>
      <c r="Q62" s="12" t="s">
        <v>1547</v>
      </c>
      <c r="R62" s="165"/>
      <c r="S62" s="51" t="s">
        <v>405</v>
      </c>
    </row>
    <row r="63" spans="1:19" ht="17" x14ac:dyDescent="0.2">
      <c r="A63" s="83"/>
      <c r="B63" s="83"/>
      <c r="C63" s="12" t="s">
        <v>112</v>
      </c>
      <c r="D63" s="12" t="s">
        <v>382</v>
      </c>
      <c r="E63" s="12" t="s">
        <v>1387</v>
      </c>
      <c r="F63" s="12"/>
      <c r="G63" s="12"/>
      <c r="H63" s="12"/>
      <c r="I63" s="6"/>
      <c r="J63" s="6"/>
      <c r="K63" s="12"/>
      <c r="L63" s="12" t="s">
        <v>2516</v>
      </c>
      <c r="M63" s="12"/>
      <c r="N63" s="50" t="s">
        <v>760</v>
      </c>
      <c r="O63" s="17" t="s">
        <v>178</v>
      </c>
      <c r="P63" s="731"/>
      <c r="Q63" s="12" t="s">
        <v>1547</v>
      </c>
      <c r="R63" s="165"/>
      <c r="S63" s="51" t="s">
        <v>406</v>
      </c>
    </row>
    <row r="64" spans="1:19" ht="17" x14ac:dyDescent="0.2">
      <c r="A64" s="83"/>
      <c r="B64" s="83"/>
      <c r="C64" s="12" t="s">
        <v>112</v>
      </c>
      <c r="D64" s="12" t="s">
        <v>383</v>
      </c>
      <c r="E64" s="12" t="s">
        <v>1388</v>
      </c>
      <c r="F64" s="12"/>
      <c r="G64" s="12"/>
      <c r="H64" s="12"/>
      <c r="I64" s="6"/>
      <c r="J64" s="6"/>
      <c r="K64" s="12"/>
      <c r="L64" s="12" t="s">
        <v>2516</v>
      </c>
      <c r="M64" s="12"/>
      <c r="N64" s="50" t="s">
        <v>760</v>
      </c>
      <c r="O64" s="17" t="s">
        <v>178</v>
      </c>
      <c r="P64" s="731"/>
      <c r="Q64" s="12" t="s">
        <v>1547</v>
      </c>
      <c r="R64" s="165"/>
      <c r="S64" s="51" t="s">
        <v>407</v>
      </c>
    </row>
    <row r="65" spans="1:19" ht="17" x14ac:dyDescent="0.2">
      <c r="A65" s="83"/>
      <c r="B65" s="83"/>
      <c r="C65" s="12" t="s">
        <v>112</v>
      </c>
      <c r="D65" s="12" t="s">
        <v>384</v>
      </c>
      <c r="E65" s="12" t="s">
        <v>1389</v>
      </c>
      <c r="F65" s="12"/>
      <c r="G65" s="12"/>
      <c r="H65" s="12"/>
      <c r="I65" s="6"/>
      <c r="J65" s="6"/>
      <c r="K65" s="12"/>
      <c r="L65" s="12" t="s">
        <v>2516</v>
      </c>
      <c r="M65" s="12"/>
      <c r="N65" s="50" t="s">
        <v>760</v>
      </c>
      <c r="O65" s="17" t="s">
        <v>178</v>
      </c>
      <c r="P65" s="731"/>
      <c r="Q65" s="12" t="s">
        <v>1547</v>
      </c>
      <c r="R65" s="165"/>
      <c r="S65" s="51" t="s">
        <v>408</v>
      </c>
    </row>
    <row r="66" spans="1:19" ht="62.5" customHeight="1" x14ac:dyDescent="0.2">
      <c r="A66" s="83"/>
      <c r="B66" s="83"/>
      <c r="C66" s="12" t="s">
        <v>112</v>
      </c>
      <c r="D66" s="12" t="s">
        <v>385</v>
      </c>
      <c r="E66" s="12" t="s">
        <v>1390</v>
      </c>
      <c r="F66" s="12"/>
      <c r="G66" s="12"/>
      <c r="H66" s="12"/>
      <c r="I66" s="6"/>
      <c r="J66" s="6"/>
      <c r="K66" s="12"/>
      <c r="L66" s="50" t="s">
        <v>2517</v>
      </c>
      <c r="M66" s="12" t="s">
        <v>715</v>
      </c>
      <c r="N66" s="50"/>
      <c r="O66" s="17" t="s">
        <v>185</v>
      </c>
      <c r="P66" s="731"/>
      <c r="Q66" s="12" t="s">
        <v>1547</v>
      </c>
      <c r="R66" s="165"/>
      <c r="S66" s="51" t="s">
        <v>916</v>
      </c>
    </row>
    <row r="67" spans="1:19" ht="62.5" customHeight="1" x14ac:dyDescent="0.2">
      <c r="A67" s="83"/>
      <c r="B67" s="83"/>
      <c r="C67" s="12" t="s">
        <v>112</v>
      </c>
      <c r="D67" s="12" t="s">
        <v>387</v>
      </c>
      <c r="E67" s="12" t="s">
        <v>1391</v>
      </c>
      <c r="F67" s="12"/>
      <c r="G67" s="12"/>
      <c r="H67" s="12"/>
      <c r="I67" s="6"/>
      <c r="J67" s="6"/>
      <c r="K67" s="12"/>
      <c r="L67" s="50" t="s">
        <v>2518</v>
      </c>
      <c r="M67" s="12" t="s">
        <v>715</v>
      </c>
      <c r="N67" s="50" t="s">
        <v>413</v>
      </c>
      <c r="O67" s="17" t="s">
        <v>185</v>
      </c>
      <c r="P67" s="731"/>
      <c r="Q67" s="12" t="s">
        <v>1547</v>
      </c>
      <c r="R67" s="165"/>
      <c r="S67" s="51" t="s">
        <v>917</v>
      </c>
    </row>
    <row r="68" spans="1:19" ht="62.5" customHeight="1" x14ac:dyDescent="0.2">
      <c r="A68" s="83"/>
      <c r="B68" s="83"/>
      <c r="C68" s="12" t="s">
        <v>112</v>
      </c>
      <c r="D68" s="12" t="s">
        <v>389</v>
      </c>
      <c r="E68" s="12" t="s">
        <v>1392</v>
      </c>
      <c r="F68" s="12"/>
      <c r="G68" s="12"/>
      <c r="H68" s="12"/>
      <c r="I68" s="6"/>
      <c r="J68" s="6"/>
      <c r="K68" s="12"/>
      <c r="L68" s="50" t="s">
        <v>2519</v>
      </c>
      <c r="M68" s="12" t="s">
        <v>715</v>
      </c>
      <c r="N68" s="50"/>
      <c r="O68" s="17" t="s">
        <v>185</v>
      </c>
      <c r="P68" s="731"/>
      <c r="Q68" s="12" t="s">
        <v>1547</v>
      </c>
      <c r="R68" s="165"/>
      <c r="S68" s="51" t="s">
        <v>918</v>
      </c>
    </row>
    <row r="69" spans="1:19" ht="17" x14ac:dyDescent="0.2">
      <c r="A69" s="83"/>
      <c r="B69" s="83"/>
      <c r="C69" s="12" t="s">
        <v>112</v>
      </c>
      <c r="D69" s="45"/>
      <c r="E69" s="289"/>
      <c r="F69" s="12"/>
      <c r="G69" s="289"/>
      <c r="H69" s="12"/>
      <c r="I69" s="6"/>
      <c r="J69" s="6"/>
      <c r="K69" s="289"/>
      <c r="L69" s="289"/>
      <c r="M69" s="289"/>
      <c r="N69" s="289"/>
      <c r="O69" s="17" t="s">
        <v>185</v>
      </c>
      <c r="P69" s="731"/>
      <c r="Q69" s="12" t="s">
        <v>1547</v>
      </c>
      <c r="R69" s="165"/>
      <c r="S69" s="289"/>
    </row>
    <row r="70" spans="1:19" ht="15.5" customHeight="1" thickBot="1" x14ac:dyDescent="0.25">
      <c r="A70" s="83"/>
      <c r="B70" s="83"/>
      <c r="C70" s="12" t="s">
        <v>112</v>
      </c>
      <c r="D70" s="46" t="s">
        <v>391</v>
      </c>
      <c r="E70" s="383" t="s">
        <v>1393</v>
      </c>
      <c r="F70" s="12"/>
      <c r="G70" s="383"/>
      <c r="H70" s="12"/>
      <c r="I70" s="6"/>
      <c r="J70" s="6"/>
      <c r="K70" s="12"/>
      <c r="L70" s="12" t="s">
        <v>2516</v>
      </c>
      <c r="M70" s="12" t="s">
        <v>1055</v>
      </c>
      <c r="N70" s="383" t="s">
        <v>413</v>
      </c>
      <c r="O70" s="17" t="s">
        <v>2524</v>
      </c>
      <c r="P70" s="731"/>
      <c r="Q70" s="12" t="s">
        <v>1547</v>
      </c>
      <c r="R70" s="165"/>
      <c r="S70" s="165" t="s">
        <v>1056</v>
      </c>
    </row>
    <row r="71" spans="1:19" ht="15.5" customHeight="1" x14ac:dyDescent="0.2">
      <c r="A71" s="83"/>
      <c r="B71" s="83"/>
      <c r="C71" s="280"/>
      <c r="D71" s="231" t="s">
        <v>391</v>
      </c>
      <c r="E71" s="204" t="s">
        <v>1055</v>
      </c>
      <c r="G71" s="332" t="s">
        <v>1393</v>
      </c>
      <c r="H71" s="204"/>
      <c r="I71" s="204"/>
      <c r="J71" s="204" t="s">
        <v>1055</v>
      </c>
      <c r="K71" s="204"/>
      <c r="L71" s="12" t="s">
        <v>2516</v>
      </c>
      <c r="M71" s="230"/>
      <c r="N71" s="338"/>
      <c r="O71" s="17" t="s">
        <v>2524</v>
      </c>
      <c r="P71" s="731"/>
      <c r="Q71" s="12" t="s">
        <v>1547</v>
      </c>
      <c r="R71" s="165"/>
      <c r="S71" s="338" t="s">
        <v>1056</v>
      </c>
    </row>
    <row r="72" spans="1:19" ht="17" x14ac:dyDescent="0.2">
      <c r="A72" s="83"/>
      <c r="B72" s="83"/>
      <c r="C72" s="12" t="s">
        <v>112</v>
      </c>
      <c r="D72" s="45"/>
      <c r="E72" s="53"/>
      <c r="F72" s="53"/>
      <c r="G72" s="53"/>
      <c r="H72" s="53"/>
      <c r="I72" s="6"/>
      <c r="J72" s="6"/>
      <c r="K72" s="53"/>
      <c r="L72" s="53"/>
      <c r="M72" s="53"/>
      <c r="N72" s="53"/>
      <c r="O72" s="17" t="s">
        <v>2524</v>
      </c>
      <c r="P72" s="731"/>
      <c r="Q72" s="12" t="s">
        <v>1547</v>
      </c>
      <c r="R72" s="165"/>
      <c r="S72" s="289"/>
    </row>
    <row r="73" spans="1:19" ht="17" x14ac:dyDescent="0.2">
      <c r="A73" s="83"/>
      <c r="B73" s="83"/>
      <c r="C73" s="12" t="s">
        <v>112</v>
      </c>
      <c r="D73" s="45"/>
      <c r="E73" s="53"/>
      <c r="F73" s="53"/>
      <c r="G73" s="53"/>
      <c r="H73" s="53"/>
      <c r="I73" s="6"/>
      <c r="J73" s="6"/>
      <c r="K73" s="53"/>
      <c r="L73" s="53"/>
      <c r="M73" s="53"/>
      <c r="N73" s="53"/>
      <c r="O73" s="17" t="s">
        <v>2524</v>
      </c>
      <c r="P73" s="731"/>
      <c r="Q73" s="12" t="s">
        <v>1547</v>
      </c>
      <c r="R73" s="165"/>
      <c r="S73" s="289"/>
    </row>
    <row r="74" spans="1:19" ht="17" x14ac:dyDescent="0.2">
      <c r="A74" s="83"/>
      <c r="B74" s="83"/>
      <c r="C74" s="12" t="s">
        <v>112</v>
      </c>
      <c r="D74" s="45"/>
      <c r="E74" s="53"/>
      <c r="F74" s="53"/>
      <c r="G74" s="53"/>
      <c r="H74" s="53"/>
      <c r="I74" s="6"/>
      <c r="J74" s="6"/>
      <c r="K74" s="53"/>
      <c r="L74" s="53"/>
      <c r="M74" s="53"/>
      <c r="N74" s="53"/>
      <c r="O74" s="17" t="s">
        <v>2524</v>
      </c>
      <c r="P74" s="731"/>
      <c r="Q74" s="12" t="s">
        <v>1547</v>
      </c>
      <c r="R74" s="165"/>
      <c r="S74" s="289"/>
    </row>
    <row r="75" spans="1:19" ht="15.5" customHeight="1" x14ac:dyDescent="0.2">
      <c r="A75" s="83"/>
      <c r="B75" s="83"/>
      <c r="C75" s="12" t="s">
        <v>112</v>
      </c>
      <c r="D75" s="12" t="s">
        <v>1344</v>
      </c>
      <c r="E75" s="45"/>
      <c r="F75" s="12"/>
      <c r="G75" s="45"/>
      <c r="H75" s="12"/>
      <c r="I75" s="6"/>
      <c r="J75" s="6"/>
      <c r="K75" s="12"/>
      <c r="L75" s="12"/>
      <c r="M75" s="12"/>
      <c r="N75" s="383"/>
      <c r="O75" s="17" t="s">
        <v>199</v>
      </c>
      <c r="P75" s="731"/>
      <c r="Q75" s="12" t="s">
        <v>1547</v>
      </c>
      <c r="R75" s="165"/>
      <c r="S75" s="51" t="s">
        <v>857</v>
      </c>
    </row>
    <row r="76" spans="1:19" ht="17" x14ac:dyDescent="0.2">
      <c r="A76" s="83"/>
      <c r="B76" s="83"/>
      <c r="C76" s="12" t="s">
        <v>112</v>
      </c>
      <c r="D76" s="12" t="s">
        <v>1345</v>
      </c>
      <c r="E76" s="45"/>
      <c r="F76" s="12"/>
      <c r="G76" s="45"/>
      <c r="H76" s="12"/>
      <c r="I76" s="6"/>
      <c r="J76" s="6"/>
      <c r="K76" s="51"/>
      <c r="L76" s="51"/>
      <c r="M76" s="51"/>
      <c r="N76" s="51"/>
      <c r="O76" s="17" t="s">
        <v>199</v>
      </c>
      <c r="P76" s="731"/>
      <c r="Q76" s="12" t="s">
        <v>1547</v>
      </c>
      <c r="R76" s="165"/>
      <c r="S76" s="790" t="s">
        <v>859</v>
      </c>
    </row>
    <row r="77" spans="1:19" ht="17" x14ac:dyDescent="0.2">
      <c r="A77" s="83"/>
      <c r="B77" s="83"/>
      <c r="C77" s="12" t="s">
        <v>112</v>
      </c>
      <c r="D77" s="12" t="s">
        <v>1346</v>
      </c>
      <c r="E77" s="45"/>
      <c r="F77" s="12"/>
      <c r="G77" s="45"/>
      <c r="H77" s="12"/>
      <c r="I77" s="6"/>
      <c r="J77" s="6"/>
      <c r="K77" s="51"/>
      <c r="L77" s="51"/>
      <c r="M77" s="51"/>
      <c r="N77" s="51"/>
      <c r="O77" s="17" t="s">
        <v>199</v>
      </c>
      <c r="P77" s="731"/>
      <c r="Q77" s="12" t="s">
        <v>1547</v>
      </c>
      <c r="R77" s="165"/>
      <c r="S77" s="743"/>
    </row>
    <row r="78" spans="1:19" ht="17" x14ac:dyDescent="0.2">
      <c r="A78" s="83"/>
      <c r="B78" s="83"/>
      <c r="C78" s="12" t="s">
        <v>112</v>
      </c>
      <c r="D78" s="46" t="s">
        <v>1347</v>
      </c>
      <c r="E78" s="45"/>
      <c r="F78" s="12"/>
      <c r="G78" s="45"/>
      <c r="H78" s="12"/>
      <c r="I78" s="6"/>
      <c r="J78" s="6"/>
      <c r="K78" s="12"/>
      <c r="L78" s="12"/>
      <c r="M78" s="12"/>
      <c r="N78" s="383"/>
      <c r="O78" s="17" t="s">
        <v>199</v>
      </c>
      <c r="P78" s="731"/>
      <c r="Q78" s="12" t="s">
        <v>1547</v>
      </c>
      <c r="R78" s="165"/>
      <c r="S78" s="743"/>
    </row>
    <row r="79" spans="1:19" x14ac:dyDescent="0.2">
      <c r="A79" s="46"/>
      <c r="B79" s="46"/>
      <c r="C79" s="12" t="s">
        <v>112</v>
      </c>
      <c r="D79" s="13"/>
      <c r="E79" s="13"/>
      <c r="F79" s="13"/>
      <c r="G79" s="13"/>
      <c r="H79" s="13"/>
      <c r="I79" s="6"/>
      <c r="J79" s="6"/>
      <c r="K79" s="13"/>
      <c r="L79" s="13" t="s">
        <v>1286</v>
      </c>
      <c r="M79" s="13"/>
      <c r="N79" s="13"/>
      <c r="O79" s="13"/>
      <c r="P79" s="731"/>
      <c r="Q79" s="13"/>
      <c r="R79" s="13"/>
      <c r="S79" s="51"/>
    </row>
    <row r="80" spans="1:19" ht="46.75" customHeight="1" x14ac:dyDescent="0.2">
      <c r="A80" s="728"/>
      <c r="B80" s="728"/>
      <c r="C80" s="12" t="s">
        <v>112</v>
      </c>
      <c r="D80" s="45"/>
      <c r="E80" s="45"/>
      <c r="F80" s="729"/>
      <c r="G80" s="45"/>
      <c r="H80" s="729"/>
      <c r="I80" s="6"/>
      <c r="J80" s="6"/>
      <c r="K80" s="729"/>
      <c r="L80" s="323" t="s">
        <v>49</v>
      </c>
      <c r="M80" s="729"/>
      <c r="N80" s="53"/>
      <c r="O80" s="51" t="s">
        <v>18</v>
      </c>
      <c r="P80" s="731"/>
      <c r="Q80" s="45"/>
      <c r="R80" s="46"/>
      <c r="S80" s="42"/>
    </row>
  </sheetData>
  <autoFilter ref="A1:S80" xr:uid="{68D13722-A5F3-4A91-B6EA-0DFDB01D184D}"/>
  <mergeCells count="1">
    <mergeCell ref="S76:S78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9FF7-5777-4DC2-96A2-2A687AF48AF0}">
  <dimension ref="A1:T52"/>
  <sheetViews>
    <sheetView topLeftCell="C1" zoomScale="60" zoomScaleNormal="60" workbookViewId="0">
      <selection activeCell="I1" sqref="I1"/>
    </sheetView>
  </sheetViews>
  <sheetFormatPr baseColWidth="10" defaultColWidth="8.83203125" defaultRowHeight="16" outlineLevelCol="1" x14ac:dyDescent="0.2"/>
  <cols>
    <col min="1" max="1" width="22.1640625" hidden="1" customWidth="1" outlineLevel="1"/>
    <col min="2" max="2" width="12.6640625" hidden="1" customWidth="1" outlineLevel="1"/>
    <col min="3" max="3" width="15.83203125" customWidth="1" collapsed="1"/>
    <col min="4" max="4" width="24.83203125" customWidth="1"/>
    <col min="5" max="5" width="40.83203125" customWidth="1"/>
    <col min="6" max="6" width="38.83203125" customWidth="1"/>
    <col min="7" max="7" width="24.33203125" customWidth="1" outlineLevel="1"/>
    <col min="8" max="8" width="31.6640625" customWidth="1" outlineLevel="1"/>
    <col min="9" max="9" width="26.83203125" customWidth="1" outlineLevel="1"/>
    <col min="10" max="10" width="16.83203125" customWidth="1" outlineLevel="1"/>
    <col min="11" max="11" width="10.83203125" customWidth="1" outlineLevel="1"/>
    <col min="12" max="12" width="12.83203125" bestFit="1" customWidth="1"/>
    <col min="13" max="13" width="15.6640625" bestFit="1" customWidth="1"/>
    <col min="14" max="14" width="35.1640625" bestFit="1" customWidth="1"/>
    <col min="15" max="15" width="17" style="14" customWidth="1" outlineLevel="1"/>
    <col min="16" max="16" width="15" customWidth="1" outlineLevel="1"/>
    <col min="17" max="17" width="18" style="14" customWidth="1" outlineLevel="1"/>
    <col min="18" max="18" width="15.5" style="14" customWidth="1" outlineLevel="1"/>
    <col min="19" max="19" width="32.5" customWidth="1" outlineLevel="1"/>
  </cols>
  <sheetData>
    <row r="1" spans="1:19" s="65" customFormat="1" ht="102" x14ac:dyDescent="0.2">
      <c r="A1" s="715" t="s">
        <v>1816</v>
      </c>
      <c r="B1" s="716" t="s">
        <v>2228</v>
      </c>
      <c r="C1" s="673" t="s">
        <v>2159</v>
      </c>
      <c r="D1" s="674" t="s">
        <v>150</v>
      </c>
      <c r="E1" s="675" t="s">
        <v>153</v>
      </c>
      <c r="F1" s="674" t="s">
        <v>2176</v>
      </c>
      <c r="G1" s="711" t="s">
        <v>2177</v>
      </c>
      <c r="H1" s="712" t="s">
        <v>2226</v>
      </c>
      <c r="I1" s="712" t="s">
        <v>2525</v>
      </c>
      <c r="J1" s="712" t="s">
        <v>2417</v>
      </c>
      <c r="K1" s="712" t="s">
        <v>1477</v>
      </c>
      <c r="L1" s="675" t="s">
        <v>151</v>
      </c>
      <c r="M1" s="675" t="s">
        <v>152</v>
      </c>
      <c r="N1" s="675" t="s">
        <v>2178</v>
      </c>
      <c r="O1" s="675" t="s">
        <v>2368</v>
      </c>
      <c r="P1" s="65" t="s">
        <v>2229</v>
      </c>
      <c r="Q1" s="675" t="s">
        <v>2359</v>
      </c>
      <c r="R1" s="675" t="s">
        <v>2189</v>
      </c>
      <c r="S1" s="675" t="s">
        <v>155</v>
      </c>
    </row>
    <row r="2" spans="1:19" ht="16" customHeight="1" x14ac:dyDescent="0.2">
      <c r="A2" s="54" t="s">
        <v>1910</v>
      </c>
      <c r="B2" s="218"/>
      <c r="C2" s="54" t="s">
        <v>2369</v>
      </c>
      <c r="D2" s="16" t="s">
        <v>54</v>
      </c>
      <c r="E2" s="13" t="s">
        <v>974</v>
      </c>
      <c r="F2" s="54" t="s">
        <v>972</v>
      </c>
      <c r="G2" s="13"/>
      <c r="H2" s="13"/>
      <c r="I2" s="13"/>
      <c r="J2" s="13"/>
      <c r="K2" s="13"/>
      <c r="L2" s="5"/>
      <c r="M2" s="26" t="s">
        <v>2373</v>
      </c>
      <c r="N2" s="298" t="s">
        <v>1999</v>
      </c>
      <c r="O2" s="17" t="s">
        <v>446</v>
      </c>
      <c r="P2" s="709"/>
      <c r="Q2" s="16" t="s">
        <v>1547</v>
      </c>
      <c r="R2" s="92">
        <v>542082935</v>
      </c>
      <c r="S2" s="42" t="s">
        <v>1516</v>
      </c>
    </row>
    <row r="3" spans="1:19" ht="16" customHeight="1" x14ac:dyDescent="0.2">
      <c r="A3" s="54" t="s">
        <v>1910</v>
      </c>
      <c r="B3" s="218"/>
      <c r="C3" s="54" t="s">
        <v>2369</v>
      </c>
      <c r="D3" s="16" t="s">
        <v>1335</v>
      </c>
      <c r="E3" s="13" t="s">
        <v>1527</v>
      </c>
      <c r="F3" s="54" t="s">
        <v>975</v>
      </c>
      <c r="G3" s="13"/>
      <c r="H3" s="13"/>
      <c r="I3" s="13"/>
      <c r="J3" s="13"/>
      <c r="K3" s="13"/>
      <c r="L3" s="5"/>
      <c r="M3" s="26" t="s">
        <v>2373</v>
      </c>
      <c r="N3" s="13" t="s">
        <v>424</v>
      </c>
      <c r="O3" s="17" t="s">
        <v>446</v>
      </c>
      <c r="P3" s="709"/>
      <c r="Q3" s="16" t="s">
        <v>1547</v>
      </c>
      <c r="R3" s="92">
        <v>542082935</v>
      </c>
      <c r="S3" s="42" t="s">
        <v>1517</v>
      </c>
    </row>
    <row r="4" spans="1:19" ht="17" x14ac:dyDescent="0.2">
      <c r="A4" s="13" t="s">
        <v>1910</v>
      </c>
      <c r="B4" s="218"/>
      <c r="C4" s="54" t="s">
        <v>2369</v>
      </c>
      <c r="D4" s="16" t="s">
        <v>50</v>
      </c>
      <c r="E4" s="13" t="s">
        <v>977</v>
      </c>
      <c r="F4" s="13" t="s">
        <v>976</v>
      </c>
      <c r="G4" s="13"/>
      <c r="H4" s="13"/>
      <c r="I4" s="13"/>
      <c r="J4" s="13"/>
      <c r="K4" s="13"/>
      <c r="L4" s="45"/>
      <c r="M4" s="13" t="s">
        <v>2373</v>
      </c>
      <c r="N4" s="298" t="s">
        <v>1999</v>
      </c>
      <c r="O4" s="17" t="s">
        <v>446</v>
      </c>
      <c r="P4" s="709"/>
      <c r="Q4" s="16" t="s">
        <v>1547</v>
      </c>
      <c r="R4" s="92">
        <v>542082935</v>
      </c>
      <c r="S4" s="42" t="s">
        <v>1518</v>
      </c>
    </row>
    <row r="5" spans="1:19" ht="16" customHeight="1" x14ac:dyDescent="0.2">
      <c r="A5" s="46" t="s">
        <v>1910</v>
      </c>
      <c r="B5" s="218"/>
      <c r="C5" s="54" t="s">
        <v>2369</v>
      </c>
      <c r="D5" s="16" t="s">
        <v>1336</v>
      </c>
      <c r="E5" s="13" t="s">
        <v>1994</v>
      </c>
      <c r="F5" s="13" t="s">
        <v>978</v>
      </c>
      <c r="G5" s="13"/>
      <c r="H5" s="13"/>
      <c r="I5" s="13"/>
      <c r="J5" s="13"/>
      <c r="K5" s="13"/>
      <c r="L5" s="13" t="s">
        <v>2373</v>
      </c>
      <c r="M5" s="13" t="s">
        <v>49</v>
      </c>
      <c r="N5" s="13" t="s">
        <v>424</v>
      </c>
      <c r="O5" s="17" t="s">
        <v>446</v>
      </c>
      <c r="P5" s="709"/>
      <c r="Q5" s="16" t="s">
        <v>1547</v>
      </c>
      <c r="R5" s="92">
        <v>542082935</v>
      </c>
      <c r="S5" s="38" t="s">
        <v>1519</v>
      </c>
    </row>
    <row r="6" spans="1:19" ht="14.5" customHeight="1" x14ac:dyDescent="0.2">
      <c r="A6" s="46"/>
      <c r="B6" s="695"/>
      <c r="C6" s="54" t="s">
        <v>2369</v>
      </c>
      <c r="D6" s="12"/>
      <c r="E6" s="325"/>
      <c r="F6" s="325" t="s">
        <v>337</v>
      </c>
      <c r="G6" s="325"/>
      <c r="H6" s="325"/>
      <c r="I6" s="325"/>
      <c r="J6" s="325"/>
      <c r="K6" s="325"/>
      <c r="L6" s="325"/>
      <c r="M6" s="325"/>
      <c r="N6" s="325"/>
      <c r="O6" s="17" t="s">
        <v>257</v>
      </c>
      <c r="P6" s="709"/>
      <c r="Q6" s="16" t="s">
        <v>1547</v>
      </c>
      <c r="R6" s="92">
        <v>542082737</v>
      </c>
      <c r="S6" s="51"/>
    </row>
    <row r="7" spans="1:19" ht="17" x14ac:dyDescent="0.2">
      <c r="A7" s="13" t="s">
        <v>1910</v>
      </c>
      <c r="B7" s="218"/>
      <c r="C7" s="54" t="s">
        <v>2369</v>
      </c>
      <c r="D7" s="12" t="s">
        <v>982</v>
      </c>
      <c r="E7" s="13" t="s">
        <v>980</v>
      </c>
      <c r="F7" s="13" t="s">
        <v>981</v>
      </c>
      <c r="G7" s="13"/>
      <c r="H7" s="13"/>
      <c r="I7" s="13" t="s">
        <v>1998</v>
      </c>
      <c r="J7" s="13"/>
      <c r="K7" s="13"/>
      <c r="L7" s="323" t="s">
        <v>49</v>
      </c>
      <c r="M7" s="26"/>
      <c r="N7" s="221" t="s">
        <v>767</v>
      </c>
      <c r="O7" s="17" t="s">
        <v>257</v>
      </c>
      <c r="P7" s="709"/>
      <c r="Q7" s="16" t="s">
        <v>1547</v>
      </c>
      <c r="R7" s="92">
        <v>542082737</v>
      </c>
      <c r="S7" s="42" t="s">
        <v>1997</v>
      </c>
    </row>
    <row r="8" spans="1:19" ht="15.5" customHeight="1" x14ac:dyDescent="0.2">
      <c r="A8" s="13" t="s">
        <v>1910</v>
      </c>
      <c r="B8" s="218"/>
      <c r="C8" s="54" t="s">
        <v>2369</v>
      </c>
      <c r="D8" s="12" t="s">
        <v>983</v>
      </c>
      <c r="E8" s="13" t="s">
        <v>980</v>
      </c>
      <c r="F8" s="13" t="s">
        <v>981</v>
      </c>
      <c r="G8" s="13"/>
      <c r="H8" s="13"/>
      <c r="I8" s="13" t="s">
        <v>1998</v>
      </c>
      <c r="J8" s="13"/>
      <c r="K8" s="13"/>
      <c r="L8" s="5"/>
      <c r="M8" s="26" t="s">
        <v>2373</v>
      </c>
      <c r="N8" s="221" t="s">
        <v>767</v>
      </c>
      <c r="O8" s="17" t="s">
        <v>257</v>
      </c>
      <c r="P8" s="709"/>
      <c r="Q8" s="16" t="s">
        <v>1547</v>
      </c>
      <c r="R8" s="92">
        <v>542082737</v>
      </c>
      <c r="S8" s="42" t="s">
        <v>1864</v>
      </c>
    </row>
    <row r="9" spans="1:19" ht="16" customHeight="1" x14ac:dyDescent="0.2">
      <c r="A9" s="13" t="s">
        <v>1910</v>
      </c>
      <c r="B9" s="218"/>
      <c r="C9" s="54" t="s">
        <v>2369</v>
      </c>
      <c r="D9" s="12" t="s">
        <v>1496</v>
      </c>
      <c r="E9" s="13" t="s">
        <v>985</v>
      </c>
      <c r="F9" s="54" t="s">
        <v>984</v>
      </c>
      <c r="G9" s="13"/>
      <c r="H9" s="13"/>
      <c r="I9" s="13"/>
      <c r="J9" s="13"/>
      <c r="K9" s="13"/>
      <c r="L9" s="5"/>
      <c r="M9" s="496" t="s">
        <v>1582</v>
      </c>
      <c r="N9" s="298" t="s">
        <v>1999</v>
      </c>
      <c r="O9" s="17" t="s">
        <v>257</v>
      </c>
      <c r="P9" s="709"/>
      <c r="Q9" s="16" t="s">
        <v>1547</v>
      </c>
      <c r="R9" s="92">
        <v>542082737</v>
      </c>
      <c r="S9" s="42" t="s">
        <v>1518</v>
      </c>
    </row>
    <row r="10" spans="1:19" ht="16" customHeight="1" x14ac:dyDescent="0.2">
      <c r="A10" s="46"/>
      <c r="B10" s="6"/>
      <c r="C10" s="54" t="s">
        <v>2369</v>
      </c>
      <c r="D10" s="12"/>
      <c r="E10" s="326" t="s">
        <v>988</v>
      </c>
      <c r="F10" s="326" t="s">
        <v>986</v>
      </c>
      <c r="G10" s="326"/>
      <c r="H10" s="326"/>
      <c r="I10" s="326"/>
      <c r="J10" s="326"/>
      <c r="K10" s="326"/>
      <c r="L10" s="327"/>
      <c r="M10" s="328" t="s">
        <v>987</v>
      </c>
      <c r="N10" s="326"/>
      <c r="O10" s="17" t="s">
        <v>265</v>
      </c>
      <c r="P10" s="709"/>
      <c r="Q10" s="16" t="s">
        <v>1547</v>
      </c>
      <c r="R10" s="92">
        <v>542082735</v>
      </c>
      <c r="S10" s="329" t="s">
        <v>989</v>
      </c>
    </row>
    <row r="11" spans="1:19" ht="16" customHeight="1" x14ac:dyDescent="0.2">
      <c r="A11" s="46" t="s">
        <v>1910</v>
      </c>
      <c r="B11" s="218"/>
      <c r="C11" s="54" t="s">
        <v>2369</v>
      </c>
      <c r="D11" s="12" t="s">
        <v>1497</v>
      </c>
      <c r="E11" s="13" t="s">
        <v>988</v>
      </c>
      <c r="F11" s="13" t="s">
        <v>990</v>
      </c>
      <c r="G11" s="13"/>
      <c r="H11" s="13"/>
      <c r="I11" s="13"/>
      <c r="J11" s="13"/>
      <c r="K11" s="13"/>
      <c r="L11" s="26"/>
      <c r="M11" s="26" t="s">
        <v>2373</v>
      </c>
      <c r="N11" s="298" t="s">
        <v>1999</v>
      </c>
      <c r="O11" s="17" t="s">
        <v>265</v>
      </c>
      <c r="P11" s="709"/>
      <c r="Q11" s="16" t="s">
        <v>1547</v>
      </c>
      <c r="R11" s="92">
        <v>542082735</v>
      </c>
      <c r="S11" s="42" t="s">
        <v>1516</v>
      </c>
    </row>
    <row r="12" spans="1:19" ht="17" x14ac:dyDescent="0.2">
      <c r="A12" s="46"/>
      <c r="B12" s="6"/>
      <c r="C12" s="54" t="s">
        <v>2369</v>
      </c>
      <c r="D12" s="12"/>
      <c r="E12" s="326" t="s">
        <v>992</v>
      </c>
      <c r="F12" s="326" t="s">
        <v>991</v>
      </c>
      <c r="G12" s="326"/>
      <c r="H12" s="326"/>
      <c r="I12" s="326"/>
      <c r="J12" s="326"/>
      <c r="K12" s="326"/>
      <c r="L12" s="327"/>
      <c r="M12" s="328" t="s">
        <v>987</v>
      </c>
      <c r="N12" s="326"/>
      <c r="O12" s="17" t="s">
        <v>265</v>
      </c>
      <c r="P12" s="709"/>
      <c r="Q12" s="16" t="s">
        <v>1547</v>
      </c>
      <c r="R12" s="92">
        <v>542082735</v>
      </c>
      <c r="S12" s="329" t="s">
        <v>989</v>
      </c>
    </row>
    <row r="13" spans="1:19" ht="17" x14ac:dyDescent="0.2">
      <c r="A13" s="46" t="s">
        <v>1910</v>
      </c>
      <c r="B13" s="218"/>
      <c r="C13" s="54" t="s">
        <v>2369</v>
      </c>
      <c r="D13" s="12" t="s">
        <v>1498</v>
      </c>
      <c r="E13" s="13" t="s">
        <v>994</v>
      </c>
      <c r="F13" s="13" t="s">
        <v>993</v>
      </c>
      <c r="G13" s="13"/>
      <c r="H13" s="13"/>
      <c r="I13" s="13"/>
      <c r="J13" s="13"/>
      <c r="K13" s="13"/>
      <c r="L13" s="26"/>
      <c r="M13" s="13" t="s">
        <v>2373</v>
      </c>
      <c r="N13" s="298" t="s">
        <v>1999</v>
      </c>
      <c r="O13" s="17" t="s">
        <v>265</v>
      </c>
      <c r="P13" s="709"/>
      <c r="Q13" s="16" t="s">
        <v>1547</v>
      </c>
      <c r="R13" s="92">
        <v>542082735</v>
      </c>
      <c r="S13" s="42" t="s">
        <v>1517</v>
      </c>
    </row>
    <row r="14" spans="1:19" ht="17" x14ac:dyDescent="0.2">
      <c r="A14" s="13" t="s">
        <v>1910</v>
      </c>
      <c r="B14" s="218"/>
      <c r="C14" s="54" t="s">
        <v>2369</v>
      </c>
      <c r="D14" s="12" t="s">
        <v>348</v>
      </c>
      <c r="E14" s="13" t="s">
        <v>996</v>
      </c>
      <c r="F14" s="13" t="s">
        <v>995</v>
      </c>
      <c r="G14" s="13"/>
      <c r="H14" s="13"/>
      <c r="I14" s="13"/>
      <c r="J14" s="13"/>
      <c r="K14" s="13"/>
      <c r="L14" s="26"/>
      <c r="M14" s="26" t="s">
        <v>2373</v>
      </c>
      <c r="N14" s="298" t="s">
        <v>1999</v>
      </c>
      <c r="O14" s="17" t="s">
        <v>689</v>
      </c>
      <c r="P14" s="709"/>
      <c r="Q14" s="16" t="s">
        <v>1547</v>
      </c>
      <c r="R14" s="92">
        <v>542082678</v>
      </c>
      <c r="S14" s="42" t="s">
        <v>1516</v>
      </c>
    </row>
    <row r="15" spans="1:19" ht="17" x14ac:dyDescent="0.2">
      <c r="A15" s="696" t="s">
        <v>1910</v>
      </c>
      <c r="B15" s="218"/>
      <c r="C15" s="54" t="s">
        <v>2369</v>
      </c>
      <c r="D15" s="582" t="s">
        <v>352</v>
      </c>
      <c r="E15" s="583" t="s">
        <v>998</v>
      </c>
      <c r="F15" s="583" t="s">
        <v>997</v>
      </c>
      <c r="G15" s="583"/>
      <c r="H15" s="583"/>
      <c r="I15" s="298" t="s">
        <v>2000</v>
      </c>
      <c r="J15" s="298"/>
      <c r="K15" s="298"/>
      <c r="L15" s="584"/>
      <c r="M15" s="584" t="s">
        <v>2373</v>
      </c>
      <c r="N15" s="582" t="s">
        <v>761</v>
      </c>
      <c r="O15" s="17" t="s">
        <v>689</v>
      </c>
      <c r="P15" s="709"/>
      <c r="Q15" s="16" t="s">
        <v>1547</v>
      </c>
      <c r="R15" s="92">
        <v>542082678</v>
      </c>
      <c r="S15" s="585" t="s">
        <v>1517</v>
      </c>
    </row>
    <row r="16" spans="1:19" ht="17" x14ac:dyDescent="0.2">
      <c r="A16" s="13" t="s">
        <v>1910</v>
      </c>
      <c r="B16" s="218"/>
      <c r="C16" s="54" t="s">
        <v>2369</v>
      </c>
      <c r="D16" s="12" t="s">
        <v>353</v>
      </c>
      <c r="E16" s="13" t="s">
        <v>1000</v>
      </c>
      <c r="F16" s="13" t="s">
        <v>999</v>
      </c>
      <c r="G16" s="13"/>
      <c r="H16" s="13"/>
      <c r="I16" s="13"/>
      <c r="J16" s="13"/>
      <c r="K16" s="13"/>
      <c r="L16" s="5"/>
      <c r="M16" s="26" t="s">
        <v>2373</v>
      </c>
      <c r="N16" s="13" t="s">
        <v>424</v>
      </c>
      <c r="O16" s="17" t="s">
        <v>689</v>
      </c>
      <c r="P16" s="709"/>
      <c r="Q16" s="16" t="s">
        <v>1547</v>
      </c>
      <c r="R16" s="92">
        <v>542082678</v>
      </c>
      <c r="S16" s="42" t="s">
        <v>1518</v>
      </c>
    </row>
    <row r="17" spans="1:20" ht="17" x14ac:dyDescent="0.2">
      <c r="A17" s="54" t="s">
        <v>1910</v>
      </c>
      <c r="B17" s="218"/>
      <c r="C17" s="54" t="s">
        <v>2369</v>
      </c>
      <c r="D17" s="582" t="s">
        <v>1499</v>
      </c>
      <c r="E17" s="583" t="s">
        <v>1002</v>
      </c>
      <c r="F17" s="697" t="s">
        <v>1001</v>
      </c>
      <c r="G17" s="583"/>
      <c r="H17" s="583"/>
      <c r="I17" s="298" t="s">
        <v>2000</v>
      </c>
      <c r="J17" s="298"/>
      <c r="K17" s="298"/>
      <c r="L17" s="698"/>
      <c r="M17" s="593" t="s">
        <v>49</v>
      </c>
      <c r="N17" s="582" t="s">
        <v>761</v>
      </c>
      <c r="O17" s="17" t="s">
        <v>689</v>
      </c>
      <c r="P17" s="709"/>
      <c r="Q17" s="16" t="s">
        <v>1547</v>
      </c>
      <c r="R17" s="92">
        <v>542082678</v>
      </c>
      <c r="S17" s="699" t="s">
        <v>1521</v>
      </c>
    </row>
    <row r="18" spans="1:20" ht="17" x14ac:dyDescent="0.2">
      <c r="A18" s="13" t="s">
        <v>1910</v>
      </c>
      <c r="B18" s="218"/>
      <c r="C18" s="54" t="s">
        <v>2369</v>
      </c>
      <c r="D18" s="582" t="s">
        <v>1500</v>
      </c>
      <c r="E18" s="583" t="s">
        <v>1004</v>
      </c>
      <c r="F18" s="583" t="s">
        <v>1003</v>
      </c>
      <c r="G18" s="583"/>
      <c r="H18" s="583"/>
      <c r="I18" s="298" t="s">
        <v>2000</v>
      </c>
      <c r="J18" s="298"/>
      <c r="K18" s="298"/>
      <c r="L18" s="584"/>
      <c r="M18" s="584" t="s">
        <v>2373</v>
      </c>
      <c r="N18" s="582" t="s">
        <v>761</v>
      </c>
      <c r="O18" s="17" t="s">
        <v>286</v>
      </c>
      <c r="P18" s="709"/>
      <c r="Q18" s="16" t="s">
        <v>1547</v>
      </c>
      <c r="R18" s="92">
        <v>542082179</v>
      </c>
      <c r="S18" s="585" t="s">
        <v>1516</v>
      </c>
    </row>
    <row r="19" spans="1:20" ht="17" x14ac:dyDescent="0.2">
      <c r="A19" s="13" t="s">
        <v>1916</v>
      </c>
      <c r="B19" s="218"/>
      <c r="C19" s="54" t="s">
        <v>2369</v>
      </c>
      <c r="D19" s="582" t="s">
        <v>1501</v>
      </c>
      <c r="E19" s="583" t="s">
        <v>1002</v>
      </c>
      <c r="F19" s="583" t="s">
        <v>1005</v>
      </c>
      <c r="G19" s="583"/>
      <c r="H19" s="583"/>
      <c r="I19" s="298" t="s">
        <v>2000</v>
      </c>
      <c r="J19" s="298"/>
      <c r="K19" s="298"/>
      <c r="L19" s="592" t="s">
        <v>2373</v>
      </c>
      <c r="M19" s="593" t="s">
        <v>49</v>
      </c>
      <c r="N19" s="583" t="s">
        <v>424</v>
      </c>
      <c r="O19" s="17" t="s">
        <v>286</v>
      </c>
      <c r="P19" s="709"/>
      <c r="Q19" s="16" t="s">
        <v>1547</v>
      </c>
      <c r="R19" s="92">
        <v>542082179</v>
      </c>
      <c r="S19" s="585" t="s">
        <v>1522</v>
      </c>
    </row>
    <row r="20" spans="1:20" ht="17" x14ac:dyDescent="0.2">
      <c r="A20" s="13" t="s">
        <v>1910</v>
      </c>
      <c r="B20" s="218"/>
      <c r="C20" s="54" t="s">
        <v>2369</v>
      </c>
      <c r="D20" s="12" t="s">
        <v>355</v>
      </c>
      <c r="E20" s="13" t="s">
        <v>1000</v>
      </c>
      <c r="F20" s="13" t="s">
        <v>1007</v>
      </c>
      <c r="G20" s="13"/>
      <c r="H20" s="13"/>
      <c r="I20" s="13"/>
      <c r="J20" s="13"/>
      <c r="K20" s="13"/>
      <c r="L20" s="26"/>
      <c r="M20" s="26" t="s">
        <v>2373</v>
      </c>
      <c r="N20" s="13" t="s">
        <v>424</v>
      </c>
      <c r="O20" s="17" t="s">
        <v>286</v>
      </c>
      <c r="P20" s="709"/>
      <c r="Q20" s="16" t="s">
        <v>1547</v>
      </c>
      <c r="R20" s="92">
        <v>542082179</v>
      </c>
      <c r="S20" s="42" t="s">
        <v>1518</v>
      </c>
    </row>
    <row r="21" spans="1:20" ht="17" x14ac:dyDescent="0.2">
      <c r="A21" s="46" t="s">
        <v>1910</v>
      </c>
      <c r="B21" s="218"/>
      <c r="C21" s="54" t="s">
        <v>2369</v>
      </c>
      <c r="D21" s="12" t="s">
        <v>356</v>
      </c>
      <c r="E21" s="13" t="s">
        <v>1009</v>
      </c>
      <c r="F21" s="13" t="s">
        <v>1008</v>
      </c>
      <c r="G21" s="13"/>
      <c r="H21" s="13"/>
      <c r="I21" s="13"/>
      <c r="J21" s="13"/>
      <c r="K21" s="13"/>
      <c r="L21" s="325" t="s">
        <v>2373</v>
      </c>
      <c r="M21" s="26" t="s">
        <v>2373</v>
      </c>
      <c r="N21" s="13" t="s">
        <v>424</v>
      </c>
      <c r="O21" s="17" t="s">
        <v>286</v>
      </c>
      <c r="P21" s="709"/>
      <c r="Q21" s="16" t="s">
        <v>1547</v>
      </c>
      <c r="R21" s="92">
        <v>542082179</v>
      </c>
      <c r="S21" s="38" t="s">
        <v>1523</v>
      </c>
    </row>
    <row r="22" spans="1:20" ht="17" x14ac:dyDescent="0.2">
      <c r="A22" s="54"/>
      <c r="B22" s="218"/>
      <c r="C22" s="54" t="s">
        <v>2369</v>
      </c>
      <c r="D22" s="12" t="s">
        <v>58</v>
      </c>
      <c r="E22" s="13" t="s">
        <v>1503</v>
      </c>
      <c r="F22" s="12" t="s">
        <v>58</v>
      </c>
      <c r="G22" s="13"/>
      <c r="H22" s="13"/>
      <c r="I22" s="13"/>
      <c r="J22" s="13"/>
      <c r="K22" s="13"/>
      <c r="L22" s="26"/>
      <c r="M22" s="323" t="s">
        <v>49</v>
      </c>
      <c r="N22" s="13" t="s">
        <v>424</v>
      </c>
      <c r="O22" s="17" t="s">
        <v>287</v>
      </c>
      <c r="P22" s="709"/>
      <c r="Q22" s="16" t="s">
        <v>1547</v>
      </c>
      <c r="R22" s="92">
        <v>542082181</v>
      </c>
      <c r="S22" s="42" t="s">
        <v>1516</v>
      </c>
    </row>
    <row r="23" spans="1:20" ht="17" x14ac:dyDescent="0.2">
      <c r="A23" s="54"/>
      <c r="B23" s="218"/>
      <c r="C23" s="54" t="s">
        <v>2369</v>
      </c>
      <c r="D23" s="12" t="s">
        <v>359</v>
      </c>
      <c r="E23" s="13" t="s">
        <v>1012</v>
      </c>
      <c r="F23" s="13" t="s">
        <v>1011</v>
      </c>
      <c r="G23" s="13"/>
      <c r="H23" s="13"/>
      <c r="I23" s="13"/>
      <c r="J23" s="13"/>
      <c r="K23" s="13"/>
      <c r="L23" s="26"/>
      <c r="M23" s="26" t="s">
        <v>2373</v>
      </c>
      <c r="N23" s="13" t="s">
        <v>424</v>
      </c>
      <c r="O23" s="17" t="s">
        <v>287</v>
      </c>
      <c r="P23" s="709"/>
      <c r="Q23" s="16" t="s">
        <v>1547</v>
      </c>
      <c r="R23" s="92">
        <v>542082181</v>
      </c>
      <c r="S23" s="42" t="s">
        <v>1517</v>
      </c>
      <c r="T23" s="130"/>
    </row>
    <row r="24" spans="1:20" ht="17" x14ac:dyDescent="0.2">
      <c r="A24" s="54"/>
      <c r="B24" s="218"/>
      <c r="C24" s="54" t="s">
        <v>2369</v>
      </c>
      <c r="D24" s="12" t="s">
        <v>1502</v>
      </c>
      <c r="E24" s="16" t="s">
        <v>1010</v>
      </c>
      <c r="F24" s="16" t="s">
        <v>1013</v>
      </c>
      <c r="G24" s="16"/>
      <c r="H24" s="16"/>
      <c r="I24" s="16"/>
      <c r="J24" s="16"/>
      <c r="K24" s="16"/>
      <c r="L24" s="325" t="s">
        <v>2373</v>
      </c>
      <c r="M24" s="26" t="s">
        <v>2373</v>
      </c>
      <c r="N24" s="13" t="s">
        <v>424</v>
      </c>
      <c r="O24" s="17" t="s">
        <v>287</v>
      </c>
      <c r="P24" s="709"/>
      <c r="Q24" s="16" t="s">
        <v>1547</v>
      </c>
      <c r="R24" s="92">
        <v>542082181</v>
      </c>
      <c r="S24" s="42" t="s">
        <v>1524</v>
      </c>
    </row>
    <row r="25" spans="1:20" s="130" customFormat="1" ht="17.5" customHeight="1" x14ac:dyDescent="0.2">
      <c r="A25" s="54"/>
      <c r="B25" s="51"/>
      <c r="C25" s="54" t="s">
        <v>2369</v>
      </c>
      <c r="D25" s="12" t="s">
        <v>1505</v>
      </c>
      <c r="E25" s="16" t="s">
        <v>1015</v>
      </c>
      <c r="F25" s="13"/>
      <c r="G25" s="13"/>
      <c r="H25" s="16"/>
      <c r="I25" s="13" t="s">
        <v>169</v>
      </c>
      <c r="J25" s="13"/>
      <c r="K25" s="13"/>
      <c r="L25" s="16" t="s">
        <v>2373</v>
      </c>
      <c r="M25" s="16"/>
      <c r="N25" s="700"/>
      <c r="O25" s="17" t="s">
        <v>287</v>
      </c>
      <c r="P25" s="709"/>
      <c r="Q25" s="16" t="s">
        <v>1547</v>
      </c>
      <c r="R25" s="92">
        <v>542082181</v>
      </c>
      <c r="S25" s="700" t="s">
        <v>1521</v>
      </c>
      <c r="T25"/>
    </row>
    <row r="26" spans="1:20" ht="17" x14ac:dyDescent="0.2">
      <c r="A26" s="54"/>
      <c r="B26" s="218"/>
      <c r="C26" s="54" t="s">
        <v>2369</v>
      </c>
      <c r="D26" s="12" t="s">
        <v>1504</v>
      </c>
      <c r="E26" s="13" t="s">
        <v>1009</v>
      </c>
      <c r="F26" s="12" t="s">
        <v>1504</v>
      </c>
      <c r="G26" s="13"/>
      <c r="H26" s="13"/>
      <c r="I26" s="13"/>
      <c r="J26" s="13"/>
      <c r="K26" s="13"/>
      <c r="L26" s="26"/>
      <c r="M26" s="323" t="s">
        <v>49</v>
      </c>
      <c r="N26" s="13" t="s">
        <v>424</v>
      </c>
      <c r="O26" s="17" t="s">
        <v>1014</v>
      </c>
      <c r="P26" s="709"/>
      <c r="Q26" s="16" t="s">
        <v>1547</v>
      </c>
      <c r="R26" s="92"/>
      <c r="S26" s="700" t="s">
        <v>1525</v>
      </c>
    </row>
    <row r="27" spans="1:20" ht="17" x14ac:dyDescent="0.2">
      <c r="A27" s="54"/>
      <c r="B27" s="6"/>
      <c r="C27" s="54" t="s">
        <v>2369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17" t="s">
        <v>1014</v>
      </c>
      <c r="P27" s="709"/>
      <c r="Q27" s="16" t="s">
        <v>1547</v>
      </c>
      <c r="R27" s="92"/>
      <c r="S27" s="42"/>
    </row>
    <row r="28" spans="1:20" ht="17" x14ac:dyDescent="0.2">
      <c r="A28" s="54"/>
      <c r="B28" s="6"/>
      <c r="C28" s="54" t="s">
        <v>2369</v>
      </c>
      <c r="D28" s="12"/>
      <c r="E28" s="13"/>
      <c r="F28" s="13"/>
      <c r="G28" s="13"/>
      <c r="H28" s="13"/>
      <c r="I28" s="13"/>
      <c r="J28" s="13"/>
      <c r="K28" s="13"/>
      <c r="L28" s="26"/>
      <c r="M28" s="26"/>
      <c r="N28" s="13"/>
      <c r="O28" s="17" t="s">
        <v>1014</v>
      </c>
      <c r="P28" s="709"/>
      <c r="Q28" s="16" t="s">
        <v>1547</v>
      </c>
      <c r="R28" s="92"/>
      <c r="S28" s="13"/>
    </row>
    <row r="29" spans="1:20" ht="17" x14ac:dyDescent="0.2">
      <c r="A29" s="54"/>
      <c r="B29" s="6"/>
      <c r="C29" s="54" t="s">
        <v>2369</v>
      </c>
      <c r="D29" s="12"/>
      <c r="E29" s="13"/>
      <c r="F29" s="13"/>
      <c r="G29" s="13"/>
      <c r="H29" s="13"/>
      <c r="I29" s="13"/>
      <c r="J29" s="13"/>
      <c r="K29" s="13"/>
      <c r="L29" s="26"/>
      <c r="M29" s="26"/>
      <c r="N29" s="13"/>
      <c r="O29" s="17" t="s">
        <v>1014</v>
      </c>
      <c r="P29" s="709"/>
      <c r="Q29" s="16" t="s">
        <v>1547</v>
      </c>
      <c r="R29" s="92"/>
      <c r="S29" s="13"/>
    </row>
    <row r="30" spans="1:20" ht="17" x14ac:dyDescent="0.2">
      <c r="A30" s="54">
        <v>560</v>
      </c>
      <c r="B30" s="218"/>
      <c r="C30" s="54" t="s">
        <v>2369</v>
      </c>
      <c r="D30" s="12" t="s">
        <v>1506</v>
      </c>
      <c r="E30" s="13" t="s">
        <v>1012</v>
      </c>
      <c r="F30" s="13" t="s">
        <v>1016</v>
      </c>
      <c r="G30" s="13"/>
      <c r="H30" s="13"/>
      <c r="I30" s="13"/>
      <c r="J30" s="13"/>
      <c r="K30" s="13"/>
      <c r="L30" s="5"/>
      <c r="M30" s="26" t="s">
        <v>2373</v>
      </c>
      <c r="N30" s="13" t="s">
        <v>424</v>
      </c>
      <c r="O30" s="17" t="s">
        <v>1017</v>
      </c>
      <c r="P30" s="709"/>
      <c r="Q30" s="16" t="s">
        <v>1547</v>
      </c>
      <c r="R30" s="92">
        <v>542082178</v>
      </c>
      <c r="S30" s="42" t="s">
        <v>1516</v>
      </c>
    </row>
    <row r="31" spans="1:20" ht="17" x14ac:dyDescent="0.2">
      <c r="A31" s="54" t="s">
        <v>1910</v>
      </c>
      <c r="B31" s="218"/>
      <c r="C31" s="54" t="s">
        <v>2369</v>
      </c>
      <c r="D31" s="42" t="s">
        <v>372</v>
      </c>
      <c r="E31" s="13" t="s">
        <v>1010</v>
      </c>
      <c r="F31" s="13" t="s">
        <v>1018</v>
      </c>
      <c r="G31" s="13"/>
      <c r="H31" s="13"/>
      <c r="I31" s="13"/>
      <c r="J31" s="13"/>
      <c r="K31" s="13"/>
      <c r="L31" s="26"/>
      <c r="M31" s="323" t="s">
        <v>49</v>
      </c>
      <c r="N31" s="13" t="s">
        <v>424</v>
      </c>
      <c r="O31" s="17" t="s">
        <v>1017</v>
      </c>
      <c r="P31" s="709"/>
      <c r="Q31" s="16" t="s">
        <v>1547</v>
      </c>
      <c r="R31" s="92">
        <v>542082178</v>
      </c>
      <c r="S31" s="42" t="s">
        <v>1517</v>
      </c>
    </row>
    <row r="32" spans="1:20" ht="17" x14ac:dyDescent="0.2">
      <c r="A32" s="54">
        <v>573</v>
      </c>
      <c r="B32" s="218"/>
      <c r="C32" s="54" t="s">
        <v>2369</v>
      </c>
      <c r="D32" s="12" t="s">
        <v>1507</v>
      </c>
      <c r="E32" s="13" t="s">
        <v>1010</v>
      </c>
      <c r="F32" s="13" t="s">
        <v>1019</v>
      </c>
      <c r="G32" s="13"/>
      <c r="H32" s="13"/>
      <c r="I32" s="13"/>
      <c r="J32" s="13"/>
      <c r="K32" s="13"/>
      <c r="L32" s="26"/>
      <c r="M32" s="26" t="s">
        <v>2373</v>
      </c>
      <c r="N32" s="13" t="s">
        <v>424</v>
      </c>
      <c r="O32" s="17" t="s">
        <v>1017</v>
      </c>
      <c r="P32" s="709"/>
      <c r="Q32" s="16" t="s">
        <v>1547</v>
      </c>
      <c r="R32" s="92">
        <v>542082178</v>
      </c>
      <c r="S32" s="42" t="s">
        <v>1518</v>
      </c>
    </row>
    <row r="33" spans="1:20" ht="17" x14ac:dyDescent="0.2">
      <c r="A33" s="54">
        <v>569</v>
      </c>
      <c r="B33" s="218"/>
      <c r="C33" s="54" t="s">
        <v>2369</v>
      </c>
      <c r="D33" s="12" t="s">
        <v>56</v>
      </c>
      <c r="E33" s="13" t="s">
        <v>1508</v>
      </c>
      <c r="F33" s="54" t="s">
        <v>1020</v>
      </c>
      <c r="G33" s="13"/>
      <c r="H33" s="13"/>
      <c r="I33" s="13"/>
      <c r="J33" s="13"/>
      <c r="K33" s="13"/>
      <c r="L33" s="26" t="s">
        <v>2373</v>
      </c>
      <c r="M33" s="323" t="s">
        <v>49</v>
      </c>
      <c r="N33" s="13" t="s">
        <v>424</v>
      </c>
      <c r="O33" s="17" t="s">
        <v>1017</v>
      </c>
      <c r="P33" s="709"/>
      <c r="Q33" s="16" t="s">
        <v>1547</v>
      </c>
      <c r="R33" s="92">
        <v>542082178</v>
      </c>
      <c r="S33" s="38" t="s">
        <v>1523</v>
      </c>
    </row>
    <row r="34" spans="1:20" s="130" customFormat="1" ht="115.25" customHeight="1" x14ac:dyDescent="0.2">
      <c r="A34" s="13" t="s">
        <v>1526</v>
      </c>
      <c r="B34" s="51"/>
      <c r="C34" s="13" t="s">
        <v>2369</v>
      </c>
      <c r="D34" s="12" t="s">
        <v>1509</v>
      </c>
      <c r="E34" s="12" t="s">
        <v>2035</v>
      </c>
      <c r="F34" s="50" t="s">
        <v>2498</v>
      </c>
      <c r="G34" s="646" t="s">
        <v>2501</v>
      </c>
      <c r="H34" s="692" t="s">
        <v>2502</v>
      </c>
      <c r="I34" s="50"/>
      <c r="J34" s="50"/>
      <c r="K34" s="50"/>
      <c r="L34" s="496" t="s">
        <v>1986</v>
      </c>
      <c r="M34" s="496" t="s">
        <v>1987</v>
      </c>
      <c r="N34" s="12" t="s">
        <v>2036</v>
      </c>
      <c r="O34" s="17" t="s">
        <v>295</v>
      </c>
      <c r="P34" s="725"/>
      <c r="Q34" s="12" t="s">
        <v>1547</v>
      </c>
      <c r="R34" s="92">
        <v>542082177</v>
      </c>
      <c r="S34" s="42" t="s">
        <v>1995</v>
      </c>
      <c r="T34" s="44"/>
    </row>
    <row r="35" spans="1:20" s="44" customFormat="1" ht="97.75" customHeight="1" x14ac:dyDescent="0.2">
      <c r="A35" s="13" t="s">
        <v>1920</v>
      </c>
      <c r="B35" s="51"/>
      <c r="C35" s="13" t="s">
        <v>2369</v>
      </c>
      <c r="D35" s="12" t="s">
        <v>1510</v>
      </c>
      <c r="E35" s="12" t="s">
        <v>2035</v>
      </c>
      <c r="F35" s="50" t="s">
        <v>2499</v>
      </c>
      <c r="G35" s="646" t="s">
        <v>2501</v>
      </c>
      <c r="H35" s="692" t="s">
        <v>2502</v>
      </c>
      <c r="I35" s="50"/>
      <c r="J35" s="50"/>
      <c r="K35" s="50"/>
      <c r="L35" s="496" t="s">
        <v>1582</v>
      </c>
      <c r="M35" s="496" t="s">
        <v>1582</v>
      </c>
      <c r="N35" s="12" t="s">
        <v>2036</v>
      </c>
      <c r="O35" s="17" t="s">
        <v>295</v>
      </c>
      <c r="P35" s="725"/>
      <c r="Q35" s="12" t="s">
        <v>1547</v>
      </c>
      <c r="R35" s="92">
        <v>542082177</v>
      </c>
      <c r="S35" s="42" t="s">
        <v>1522</v>
      </c>
    </row>
    <row r="36" spans="1:20" s="40" customFormat="1" ht="22.75" customHeight="1" x14ac:dyDescent="0.2">
      <c r="A36" s="54">
        <v>139</v>
      </c>
      <c r="B36" s="218"/>
      <c r="C36" s="54" t="s">
        <v>2369</v>
      </c>
      <c r="D36" s="12" t="s">
        <v>1511</v>
      </c>
      <c r="E36" s="16" t="s">
        <v>1022</v>
      </c>
      <c r="F36" s="16" t="s">
        <v>1024</v>
      </c>
      <c r="G36" s="16"/>
      <c r="H36" s="16"/>
      <c r="I36" s="181"/>
      <c r="J36" s="181"/>
      <c r="K36" s="181"/>
      <c r="L36" s="16"/>
      <c r="M36" s="496" t="s">
        <v>1582</v>
      </c>
      <c r="N36" s="221" t="s">
        <v>767</v>
      </c>
      <c r="O36" s="17" t="s">
        <v>295</v>
      </c>
      <c r="P36" s="709"/>
      <c r="Q36" s="16" t="s">
        <v>1547</v>
      </c>
      <c r="R36" s="92">
        <v>542082177</v>
      </c>
      <c r="S36" s="42" t="s">
        <v>1518</v>
      </c>
    </row>
    <row r="37" spans="1:20" s="40" customFormat="1" ht="25.75" customHeight="1" x14ac:dyDescent="0.2">
      <c r="A37" s="54">
        <v>132</v>
      </c>
      <c r="B37" s="218"/>
      <c r="C37" s="54" t="s">
        <v>2369</v>
      </c>
      <c r="D37" s="12" t="s">
        <v>1512</v>
      </c>
      <c r="E37" s="16"/>
      <c r="F37" s="16" t="s">
        <v>1024</v>
      </c>
      <c r="G37" s="16"/>
      <c r="H37" s="16"/>
      <c r="I37" s="181"/>
      <c r="J37" s="181"/>
      <c r="K37" s="181"/>
      <c r="L37" s="16"/>
      <c r="M37" s="496" t="s">
        <v>1582</v>
      </c>
      <c r="N37" s="221" t="s">
        <v>767</v>
      </c>
      <c r="O37" s="17" t="s">
        <v>295</v>
      </c>
      <c r="P37" s="709"/>
      <c r="Q37" s="16" t="s">
        <v>1547</v>
      </c>
      <c r="R37" s="92">
        <v>542082177</v>
      </c>
      <c r="S37" s="38" t="s">
        <v>1521</v>
      </c>
    </row>
    <row r="38" spans="1:20" s="726" customFormat="1" ht="112.25" customHeight="1" x14ac:dyDescent="0.2">
      <c r="A38" s="13" t="s">
        <v>1526</v>
      </c>
      <c r="B38" s="51"/>
      <c r="C38" s="13" t="s">
        <v>2369</v>
      </c>
      <c r="D38" s="12" t="s">
        <v>1513</v>
      </c>
      <c r="E38" s="12" t="s">
        <v>2035</v>
      </c>
      <c r="F38" s="12" t="s">
        <v>1027</v>
      </c>
      <c r="G38" s="646" t="s">
        <v>2500</v>
      </c>
      <c r="H38" s="692" t="s">
        <v>2503</v>
      </c>
      <c r="I38" s="50"/>
      <c r="J38" s="50"/>
      <c r="K38" s="50"/>
      <c r="L38" s="496" t="s">
        <v>1582</v>
      </c>
      <c r="M38" s="496" t="s">
        <v>1582</v>
      </c>
      <c r="N38" s="132" t="s">
        <v>2036</v>
      </c>
      <c r="O38" s="17" t="s">
        <v>1028</v>
      </c>
      <c r="P38" s="709"/>
      <c r="Q38" s="12" t="s">
        <v>1547</v>
      </c>
      <c r="R38" s="92">
        <v>542082742</v>
      </c>
      <c r="S38" s="42" t="s">
        <v>1995</v>
      </c>
    </row>
    <row r="39" spans="1:20" s="726" customFormat="1" ht="106.25" customHeight="1" x14ac:dyDescent="0.2">
      <c r="A39" s="13" t="s">
        <v>1526</v>
      </c>
      <c r="B39" s="51"/>
      <c r="C39" s="13" t="s">
        <v>2369</v>
      </c>
      <c r="D39" s="12" t="s">
        <v>1514</v>
      </c>
      <c r="E39" s="12" t="s">
        <v>2035</v>
      </c>
      <c r="F39" s="12" t="s">
        <v>1029</v>
      </c>
      <c r="G39" s="646" t="s">
        <v>2500</v>
      </c>
      <c r="H39" s="692" t="s">
        <v>2503</v>
      </c>
      <c r="I39" s="50"/>
      <c r="J39" s="50"/>
      <c r="K39" s="50"/>
      <c r="L39" s="496" t="s">
        <v>1582</v>
      </c>
      <c r="M39" s="496" t="s">
        <v>1582</v>
      </c>
      <c r="N39" s="132" t="s">
        <v>2036</v>
      </c>
      <c r="O39" s="17" t="s">
        <v>1028</v>
      </c>
      <c r="P39" s="709"/>
      <c r="Q39" s="12" t="s">
        <v>1547</v>
      </c>
      <c r="R39" s="92">
        <v>542082742</v>
      </c>
      <c r="S39" s="42" t="s">
        <v>1996</v>
      </c>
    </row>
    <row r="40" spans="1:20" s="40" customFormat="1" ht="17" x14ac:dyDescent="0.2">
      <c r="A40" s="54"/>
      <c r="B40" s="218"/>
      <c r="C40" s="54" t="s">
        <v>2369</v>
      </c>
      <c r="D40" s="12" t="s">
        <v>1515</v>
      </c>
      <c r="E40" s="13" t="s">
        <v>1031</v>
      </c>
      <c r="F40" s="54" t="s">
        <v>1030</v>
      </c>
      <c r="G40" s="13"/>
      <c r="H40" s="13"/>
      <c r="I40" s="13"/>
      <c r="J40" s="13"/>
      <c r="K40" s="13"/>
      <c r="L40" s="5"/>
      <c r="M40" s="323" t="s">
        <v>49</v>
      </c>
      <c r="N40" s="13" t="s">
        <v>424</v>
      </c>
      <c r="O40" s="17" t="s">
        <v>1028</v>
      </c>
      <c r="P40" s="709"/>
      <c r="Q40" s="16" t="s">
        <v>1547</v>
      </c>
      <c r="R40" s="92">
        <v>542082742</v>
      </c>
      <c r="S40" s="42" t="s">
        <v>1518</v>
      </c>
    </row>
    <row r="41" spans="1:20" s="40" customFormat="1" ht="17" x14ac:dyDescent="0.2">
      <c r="A41" s="54"/>
      <c r="B41" s="218"/>
      <c r="C41" s="54" t="s">
        <v>2369</v>
      </c>
      <c r="D41" s="12" t="s">
        <v>358</v>
      </c>
      <c r="E41" s="13" t="s">
        <v>1031</v>
      </c>
      <c r="F41" s="13" t="s">
        <v>1032</v>
      </c>
      <c r="G41" s="13"/>
      <c r="H41" s="13"/>
      <c r="I41" s="13"/>
      <c r="J41" s="13"/>
      <c r="K41" s="13"/>
      <c r="L41" s="26"/>
      <c r="M41" s="323" t="s">
        <v>49</v>
      </c>
      <c r="N41" s="13" t="s">
        <v>424</v>
      </c>
      <c r="O41" s="17" t="s">
        <v>1028</v>
      </c>
      <c r="P41" s="709"/>
      <c r="Q41" s="16" t="s">
        <v>1547</v>
      </c>
      <c r="R41" s="92">
        <v>542082742</v>
      </c>
      <c r="S41" s="38" t="s">
        <v>1521</v>
      </c>
    </row>
    <row r="42" spans="1:20" s="40" customFormat="1" ht="17" x14ac:dyDescent="0.2">
      <c r="A42" s="13"/>
      <c r="B42" s="218"/>
      <c r="C42" s="54" t="s">
        <v>2369</v>
      </c>
      <c r="D42" s="16" t="s">
        <v>373</v>
      </c>
      <c r="E42" s="16" t="s">
        <v>1034</v>
      </c>
      <c r="F42" s="16"/>
      <c r="G42" s="16"/>
      <c r="H42" s="16"/>
      <c r="I42" s="16"/>
      <c r="J42" s="16"/>
      <c r="K42" s="16"/>
      <c r="L42" s="16" t="s">
        <v>2004</v>
      </c>
      <c r="M42" s="16" t="s">
        <v>2373</v>
      </c>
      <c r="N42" s="13" t="s">
        <v>424</v>
      </c>
      <c r="O42" s="17" t="s">
        <v>1035</v>
      </c>
      <c r="P42" s="709"/>
      <c r="Q42" s="16" t="s">
        <v>1547</v>
      </c>
      <c r="R42" s="92" t="s">
        <v>1906</v>
      </c>
      <c r="S42" s="42" t="s">
        <v>1516</v>
      </c>
    </row>
    <row r="43" spans="1:20" s="40" customFormat="1" ht="17" x14ac:dyDescent="0.2">
      <c r="A43" s="13"/>
      <c r="B43" s="218"/>
      <c r="C43" s="54" t="s">
        <v>2369</v>
      </c>
      <c r="D43" s="16" t="s">
        <v>375</v>
      </c>
      <c r="E43" s="16" t="s">
        <v>1037</v>
      </c>
      <c r="F43" s="12"/>
      <c r="G43" s="16"/>
      <c r="H43" s="16"/>
      <c r="I43" s="16"/>
      <c r="J43" s="16"/>
      <c r="K43" s="16"/>
      <c r="L43" s="16" t="s">
        <v>2003</v>
      </c>
      <c r="M43" s="16" t="s">
        <v>2373</v>
      </c>
      <c r="N43" s="13" t="s">
        <v>424</v>
      </c>
      <c r="O43" s="17" t="s">
        <v>1035</v>
      </c>
      <c r="P43" s="709"/>
      <c r="Q43" s="16" t="s">
        <v>1547</v>
      </c>
      <c r="R43" s="92" t="s">
        <v>2370</v>
      </c>
      <c r="S43" s="42" t="s">
        <v>1517</v>
      </c>
    </row>
    <row r="44" spans="1:20" s="40" customFormat="1" ht="17" x14ac:dyDescent="0.2">
      <c r="A44" s="13"/>
      <c r="B44" s="218"/>
      <c r="C44" s="54" t="s">
        <v>2369</v>
      </c>
      <c r="D44" s="16" t="s">
        <v>374</v>
      </c>
      <c r="E44" s="16" t="s">
        <v>1043</v>
      </c>
      <c r="F44" s="12"/>
      <c r="G44" s="16"/>
      <c r="H44" s="16"/>
      <c r="I44" s="45"/>
      <c r="J44" s="45"/>
      <c r="K44" s="45"/>
      <c r="L44" s="16" t="s">
        <v>2002</v>
      </c>
      <c r="M44" s="16" t="s">
        <v>2373</v>
      </c>
      <c r="N44" s="13" t="s">
        <v>424</v>
      </c>
      <c r="O44" s="17" t="s">
        <v>1035</v>
      </c>
      <c r="P44" s="709"/>
      <c r="Q44" s="16" t="s">
        <v>1547</v>
      </c>
      <c r="R44" s="92" t="s">
        <v>2371</v>
      </c>
      <c r="S44" s="165" t="s">
        <v>1521</v>
      </c>
    </row>
    <row r="45" spans="1:20" s="40" customFormat="1" ht="17" x14ac:dyDescent="0.2">
      <c r="A45" s="45"/>
      <c r="B45" s="218"/>
      <c r="C45" s="54" t="s">
        <v>2369</v>
      </c>
      <c r="D45" s="16" t="s">
        <v>1045</v>
      </c>
      <c r="E45" s="16" t="s">
        <v>1047</v>
      </c>
      <c r="F45" s="12"/>
      <c r="G45" s="16"/>
      <c r="H45" s="16"/>
      <c r="I45" s="16"/>
      <c r="J45" s="16"/>
      <c r="K45" s="16"/>
      <c r="L45" s="16" t="s">
        <v>2001</v>
      </c>
      <c r="M45" s="16" t="s">
        <v>2373</v>
      </c>
      <c r="N45" s="13" t="s">
        <v>424</v>
      </c>
      <c r="O45" s="17" t="s">
        <v>1035</v>
      </c>
      <c r="P45" s="709"/>
      <c r="Q45" s="16" t="s">
        <v>1547</v>
      </c>
      <c r="R45" s="92" t="s">
        <v>2372</v>
      </c>
      <c r="S45" s="38" t="s">
        <v>1518</v>
      </c>
    </row>
    <row r="46" spans="1:20" s="40" customFormat="1" ht="17" x14ac:dyDescent="0.2">
      <c r="A46" s="6"/>
      <c r="B46" s="218"/>
      <c r="C46" s="54" t="s">
        <v>2369</v>
      </c>
      <c r="D46" s="16" t="s">
        <v>379</v>
      </c>
      <c r="E46" s="16" t="s">
        <v>1039</v>
      </c>
      <c r="F46" s="12"/>
      <c r="G46" s="16"/>
      <c r="H46" s="16"/>
      <c r="I46" s="16"/>
      <c r="J46" s="16"/>
      <c r="K46" s="16"/>
      <c r="L46" s="16"/>
      <c r="M46" s="16" t="s">
        <v>2373</v>
      </c>
      <c r="N46" s="13" t="s">
        <v>424</v>
      </c>
      <c r="O46" s="17" t="s">
        <v>1044</v>
      </c>
      <c r="P46" s="709"/>
      <c r="Q46" s="16" t="s">
        <v>1547</v>
      </c>
      <c r="R46" s="92" t="s">
        <v>1906</v>
      </c>
      <c r="S46" s="42" t="s">
        <v>1516</v>
      </c>
    </row>
    <row r="47" spans="1:20" s="40" customFormat="1" ht="17" x14ac:dyDescent="0.2">
      <c r="A47" s="6"/>
      <c r="B47" s="218"/>
      <c r="C47" s="54" t="s">
        <v>2369</v>
      </c>
      <c r="D47" s="16" t="s">
        <v>381</v>
      </c>
      <c r="E47" s="16" t="s">
        <v>1041</v>
      </c>
      <c r="F47" s="12"/>
      <c r="G47" s="16"/>
      <c r="H47" s="16"/>
      <c r="I47" s="16"/>
      <c r="J47" s="16"/>
      <c r="K47" s="16"/>
      <c r="L47" s="16"/>
      <c r="M47" s="16" t="s">
        <v>2373</v>
      </c>
      <c r="N47" s="13" t="s">
        <v>424</v>
      </c>
      <c r="O47" s="17" t="s">
        <v>1044</v>
      </c>
      <c r="P47" s="709"/>
      <c r="Q47" s="16" t="s">
        <v>1547</v>
      </c>
      <c r="R47" s="92" t="s">
        <v>2370</v>
      </c>
      <c r="S47" s="42" t="s">
        <v>1517</v>
      </c>
    </row>
    <row r="48" spans="1:20" s="40" customFormat="1" ht="17" x14ac:dyDescent="0.2">
      <c r="A48" s="6"/>
      <c r="B48" s="218"/>
      <c r="C48" s="54" t="s">
        <v>2369</v>
      </c>
      <c r="D48" s="16" t="s">
        <v>1048</v>
      </c>
      <c r="E48" s="16" t="s">
        <v>1050</v>
      </c>
      <c r="F48" s="12"/>
      <c r="G48" s="16"/>
      <c r="H48" s="16"/>
      <c r="I48" s="16"/>
      <c r="J48" s="16"/>
      <c r="K48" s="16"/>
      <c r="L48" s="16"/>
      <c r="M48" s="16" t="s">
        <v>2373</v>
      </c>
      <c r="N48" s="13" t="s">
        <v>424</v>
      </c>
      <c r="O48" s="17" t="s">
        <v>1044</v>
      </c>
      <c r="P48" s="709"/>
      <c r="Q48" s="16" t="s">
        <v>1547</v>
      </c>
      <c r="R48" s="92" t="s">
        <v>2371</v>
      </c>
      <c r="S48" s="42" t="s">
        <v>1518</v>
      </c>
    </row>
    <row r="49" spans="1:19" s="40" customFormat="1" ht="17" x14ac:dyDescent="0.2">
      <c r="A49" s="6"/>
      <c r="B49" s="218"/>
      <c r="C49" s="54" t="s">
        <v>2369</v>
      </c>
      <c r="D49" s="16" t="s">
        <v>382</v>
      </c>
      <c r="E49" s="16" t="s">
        <v>1052</v>
      </c>
      <c r="F49" s="12"/>
      <c r="G49" s="16"/>
      <c r="H49" s="16"/>
      <c r="I49" s="16"/>
      <c r="J49" s="16"/>
      <c r="K49" s="16"/>
      <c r="L49" s="16"/>
      <c r="M49" s="16" t="s">
        <v>2373</v>
      </c>
      <c r="N49" s="13" t="s">
        <v>424</v>
      </c>
      <c r="O49" s="17" t="s">
        <v>1044</v>
      </c>
      <c r="P49" s="709"/>
      <c r="Q49" s="16" t="s">
        <v>1547</v>
      </c>
      <c r="R49" s="92" t="s">
        <v>2372</v>
      </c>
      <c r="S49" s="38" t="s">
        <v>1521</v>
      </c>
    </row>
    <row r="50" spans="1:19" s="40" customFormat="1" x14ac:dyDescent="0.2">
      <c r="B50" s="148"/>
      <c r="C50"/>
      <c r="D50" s="14"/>
      <c r="E50" s="14"/>
      <c r="F50" s="130"/>
      <c r="G50" s="14"/>
      <c r="H50" s="14"/>
      <c r="I50" s="14"/>
      <c r="J50" s="14"/>
      <c r="K50" s="14"/>
      <c r="L50" s="14"/>
      <c r="M50" s="14"/>
      <c r="N50" s="21"/>
      <c r="O50" s="14"/>
      <c r="P50" s="20"/>
      <c r="Q50" s="65"/>
      <c r="R50" s="179"/>
      <c r="S50" s="14"/>
    </row>
    <row r="52" spans="1:19" x14ac:dyDescent="0.2">
      <c r="L52" t="s">
        <v>160</v>
      </c>
    </row>
  </sheetData>
  <autoFilter ref="A1:S49" xr:uid="{553D9FF7-5777-4DC2-96A2-2A687AF48AF0}"/>
  <phoneticPr fontId="1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AA8B6-5C28-42EA-81DD-D65AD081635A}">
  <dimension ref="A1:T200"/>
  <sheetViews>
    <sheetView topLeftCell="C1" zoomScale="60" zoomScaleNormal="60" workbookViewId="0">
      <pane ySplit="1" topLeftCell="A131" activePane="bottomLeft" state="frozen"/>
      <selection pane="bottomLeft" activeCell="K96" sqref="K96"/>
    </sheetView>
  </sheetViews>
  <sheetFormatPr baseColWidth="10" defaultColWidth="8.83203125" defaultRowHeight="16" outlineLevelCol="1" x14ac:dyDescent="0.2"/>
  <cols>
    <col min="1" max="1" width="19.83203125" hidden="1" customWidth="1" outlineLevel="1"/>
    <col min="2" max="2" width="23.5" style="652" hidden="1" customWidth="1" outlineLevel="1"/>
    <col min="3" max="3" width="11.83203125" customWidth="1" collapsed="1"/>
    <col min="4" max="4" width="24.33203125" customWidth="1"/>
    <col min="5" max="5" width="35.83203125" customWidth="1"/>
    <col min="6" max="6" width="44.5" customWidth="1"/>
    <col min="7" max="7" width="30.6640625" customWidth="1" outlineLevel="1"/>
    <col min="8" max="8" width="33.1640625" customWidth="1" outlineLevel="1"/>
    <col min="9" max="9" width="38" customWidth="1" outlineLevel="1"/>
    <col min="10" max="10" width="19.1640625" customWidth="1" outlineLevel="1"/>
    <col min="11" max="11" width="11.6640625" customWidth="1" outlineLevel="1"/>
    <col min="12" max="12" width="15.6640625" customWidth="1"/>
    <col min="13" max="13" width="21.1640625" customWidth="1"/>
    <col min="14" max="14" width="16.83203125" bestFit="1" customWidth="1"/>
    <col min="15" max="15" width="25" style="14" customWidth="1" outlineLevel="1"/>
    <col min="16" max="16" width="18.5" customWidth="1" outlineLevel="1"/>
    <col min="17" max="17" width="23.5" customWidth="1" outlineLevel="1"/>
    <col min="18" max="18" width="15.5" customWidth="1" outlineLevel="1"/>
    <col min="19" max="19" width="40.1640625" customWidth="1" outlineLevel="1"/>
  </cols>
  <sheetData>
    <row r="1" spans="1:19" s="65" customFormat="1" ht="91.25" customHeight="1" x14ac:dyDescent="0.2">
      <c r="A1" s="713" t="s">
        <v>1816</v>
      </c>
      <c r="B1" s="714" t="s">
        <v>2228</v>
      </c>
      <c r="C1" s="673" t="s">
        <v>2159</v>
      </c>
      <c r="D1" s="674" t="s">
        <v>150</v>
      </c>
      <c r="E1" s="675" t="s">
        <v>153</v>
      </c>
      <c r="F1" s="674" t="s">
        <v>2176</v>
      </c>
      <c r="G1" s="711" t="s">
        <v>2177</v>
      </c>
      <c r="H1" s="712" t="s">
        <v>2226</v>
      </c>
      <c r="I1" s="712" t="s">
        <v>2525</v>
      </c>
      <c r="J1" s="712" t="s">
        <v>2417</v>
      </c>
      <c r="K1" s="712" t="s">
        <v>1477</v>
      </c>
      <c r="L1" s="675" t="s">
        <v>151</v>
      </c>
      <c r="M1" s="675" t="s">
        <v>152</v>
      </c>
      <c r="N1" s="675" t="s">
        <v>2178</v>
      </c>
      <c r="O1" s="675" t="s">
        <v>2368</v>
      </c>
      <c r="P1" s="65" t="s">
        <v>2229</v>
      </c>
      <c r="Q1" s="675" t="s">
        <v>2359</v>
      </c>
      <c r="R1" s="675" t="s">
        <v>2189</v>
      </c>
      <c r="S1" s="675" t="s">
        <v>155</v>
      </c>
    </row>
    <row r="2" spans="1:19" s="44" customFormat="1" ht="15.5" customHeight="1" x14ac:dyDescent="0.2">
      <c r="A2" s="42"/>
      <c r="B2" s="41"/>
      <c r="C2" s="42" t="s">
        <v>486</v>
      </c>
      <c r="D2" s="42" t="s">
        <v>472</v>
      </c>
      <c r="E2" s="42" t="s">
        <v>476</v>
      </c>
      <c r="F2" s="42"/>
      <c r="G2" s="42"/>
      <c r="H2" s="42"/>
      <c r="I2" s="42"/>
      <c r="J2" s="42"/>
      <c r="K2" s="41"/>
      <c r="L2" s="42"/>
      <c r="M2" s="42" t="s">
        <v>2179</v>
      </c>
      <c r="N2" s="663"/>
      <c r="O2" s="17" t="s">
        <v>446</v>
      </c>
      <c r="P2" s="42"/>
      <c r="Q2" s="38" t="s">
        <v>1547</v>
      </c>
      <c r="R2" s="52" t="s">
        <v>488</v>
      </c>
      <c r="S2" s="38" t="s">
        <v>489</v>
      </c>
    </row>
    <row r="3" spans="1:19" s="44" customFormat="1" ht="17" x14ac:dyDescent="0.2">
      <c r="A3" s="42"/>
      <c r="B3" s="41"/>
      <c r="C3" s="42" t="s">
        <v>486</v>
      </c>
      <c r="D3" s="42" t="s">
        <v>473</v>
      </c>
      <c r="E3" s="42" t="s">
        <v>477</v>
      </c>
      <c r="F3" s="42"/>
      <c r="G3" s="42"/>
      <c r="H3" s="42"/>
      <c r="I3" s="42"/>
      <c r="J3" s="42"/>
      <c r="K3" s="42"/>
      <c r="L3" s="42"/>
      <c r="M3" s="42" t="s">
        <v>2179</v>
      </c>
      <c r="N3" s="663"/>
      <c r="O3" s="17" t="str">
        <f>O2</f>
        <v>ACP1.1</v>
      </c>
      <c r="P3" s="42"/>
      <c r="Q3" s="38" t="s">
        <v>1547</v>
      </c>
      <c r="R3" s="52" t="s">
        <v>488</v>
      </c>
      <c r="S3" s="38" t="s">
        <v>699</v>
      </c>
    </row>
    <row r="4" spans="1:19" s="44" customFormat="1" ht="15.5" customHeight="1" x14ac:dyDescent="0.2">
      <c r="A4" s="165"/>
      <c r="B4" s="41"/>
      <c r="C4" s="42" t="s">
        <v>486</v>
      </c>
      <c r="D4" s="42" t="s">
        <v>474</v>
      </c>
      <c r="E4" s="42" t="s">
        <v>478</v>
      </c>
      <c r="F4" s="42"/>
      <c r="G4" s="42"/>
      <c r="H4" s="42"/>
      <c r="I4" s="42"/>
      <c r="J4" s="42"/>
      <c r="K4" s="42"/>
      <c r="L4" s="42"/>
      <c r="M4" s="42" t="s">
        <v>2179</v>
      </c>
      <c r="N4" s="663"/>
      <c r="O4" s="17" t="str">
        <f>O3</f>
        <v>ACP1.1</v>
      </c>
      <c r="P4" s="42"/>
      <c r="Q4" s="38" t="s">
        <v>1547</v>
      </c>
      <c r="R4" s="52" t="s">
        <v>488</v>
      </c>
      <c r="S4" s="38" t="s">
        <v>700</v>
      </c>
    </row>
    <row r="5" spans="1:19" s="44" customFormat="1" ht="17" x14ac:dyDescent="0.2">
      <c r="A5" s="42"/>
      <c r="B5" s="41"/>
      <c r="C5" s="42" t="s">
        <v>486</v>
      </c>
      <c r="D5" s="42" t="s">
        <v>475</v>
      </c>
      <c r="E5" s="42" t="s">
        <v>479</v>
      </c>
      <c r="F5" s="42"/>
      <c r="G5" s="42"/>
      <c r="H5" s="42"/>
      <c r="I5" s="42"/>
      <c r="J5" s="42"/>
      <c r="K5" s="42"/>
      <c r="L5" s="42"/>
      <c r="M5" s="42" t="s">
        <v>2179</v>
      </c>
      <c r="N5" s="663"/>
      <c r="O5" s="17" t="str">
        <f>O4</f>
        <v>ACP1.1</v>
      </c>
      <c r="P5" s="42"/>
      <c r="Q5" s="38" t="s">
        <v>1547</v>
      </c>
      <c r="R5" s="52" t="s">
        <v>488</v>
      </c>
      <c r="S5" s="38" t="s">
        <v>701</v>
      </c>
    </row>
    <row r="6" spans="1:19" s="44" customFormat="1" ht="15.5" customHeight="1" x14ac:dyDescent="0.2">
      <c r="A6" s="42"/>
      <c r="B6" s="41"/>
      <c r="C6" s="42" t="s">
        <v>486</v>
      </c>
      <c r="D6" s="42" t="s">
        <v>527</v>
      </c>
      <c r="E6" s="42"/>
      <c r="F6" s="42"/>
      <c r="G6" s="42"/>
      <c r="H6" s="42"/>
      <c r="I6" s="42"/>
      <c r="J6" s="42"/>
      <c r="K6" s="42"/>
      <c r="L6" s="42"/>
      <c r="M6" s="42" t="s">
        <v>2179</v>
      </c>
      <c r="N6" s="663"/>
      <c r="O6" s="732" t="s">
        <v>497</v>
      </c>
      <c r="P6" s="42"/>
      <c r="Q6" s="38" t="s">
        <v>1547</v>
      </c>
      <c r="R6" s="12">
        <v>542082683</v>
      </c>
      <c r="S6" s="38" t="s">
        <v>698</v>
      </c>
    </row>
    <row r="7" spans="1:19" s="44" customFormat="1" ht="15.5" customHeight="1" x14ac:dyDescent="0.2">
      <c r="A7" s="42"/>
      <c r="B7" s="41"/>
      <c r="C7" s="42" t="s">
        <v>486</v>
      </c>
      <c r="D7" s="42" t="s">
        <v>528</v>
      </c>
      <c r="E7" s="42"/>
      <c r="F7" s="42"/>
      <c r="G7" s="42"/>
      <c r="H7" s="42"/>
      <c r="I7" s="42"/>
      <c r="J7" s="42"/>
      <c r="K7" s="42"/>
      <c r="L7" s="42"/>
      <c r="M7" s="42" t="s">
        <v>2179</v>
      </c>
      <c r="N7" s="663"/>
      <c r="O7" s="732" t="str">
        <f t="shared" ref="O7:O9" si="0">O6</f>
        <v>ACP1.02</v>
      </c>
      <c r="P7" s="42"/>
      <c r="Q7" s="38" t="s">
        <v>1547</v>
      </c>
      <c r="R7" s="12">
        <v>542082683</v>
      </c>
      <c r="S7" s="38" t="s">
        <v>699</v>
      </c>
    </row>
    <row r="8" spans="1:19" s="44" customFormat="1" ht="15.5" customHeight="1" x14ac:dyDescent="0.2">
      <c r="A8" s="165" t="s">
        <v>714</v>
      </c>
      <c r="B8" s="41"/>
      <c r="C8" s="42" t="s">
        <v>486</v>
      </c>
      <c r="D8" s="42" t="s">
        <v>529</v>
      </c>
      <c r="E8" s="42"/>
      <c r="F8" s="42"/>
      <c r="G8" s="42"/>
      <c r="H8" s="42"/>
      <c r="I8" s="42"/>
      <c r="J8" s="42"/>
      <c r="K8" s="42"/>
      <c r="L8" s="42"/>
      <c r="M8" s="42" t="s">
        <v>2179</v>
      </c>
      <c r="N8" s="663"/>
      <c r="O8" s="732" t="str">
        <f t="shared" si="0"/>
        <v>ACP1.02</v>
      </c>
      <c r="P8" s="42"/>
      <c r="Q8" s="38" t="s">
        <v>1547</v>
      </c>
      <c r="R8" s="12">
        <v>542082683</v>
      </c>
      <c r="S8" s="38" t="s">
        <v>700</v>
      </c>
    </row>
    <row r="9" spans="1:19" s="44" customFormat="1" ht="15.5" customHeight="1" x14ac:dyDescent="0.2">
      <c r="A9" s="42"/>
      <c r="B9" s="41"/>
      <c r="C9" s="42" t="s">
        <v>486</v>
      </c>
      <c r="D9" s="42" t="s">
        <v>530</v>
      </c>
      <c r="E9" s="42"/>
      <c r="F9" s="42"/>
      <c r="G9" s="42"/>
      <c r="H9" s="42"/>
      <c r="I9" s="42"/>
      <c r="J9" s="42"/>
      <c r="K9" s="42"/>
      <c r="L9" s="42"/>
      <c r="M9" s="42" t="s">
        <v>2179</v>
      </c>
      <c r="N9" s="663"/>
      <c r="O9" s="732" t="str">
        <f t="shared" si="0"/>
        <v>ACP1.02</v>
      </c>
      <c r="P9" s="42"/>
      <c r="Q9" s="38" t="s">
        <v>1547</v>
      </c>
      <c r="R9" s="12">
        <v>542082683</v>
      </c>
      <c r="S9" s="38" t="s">
        <v>701</v>
      </c>
    </row>
    <row r="10" spans="1:19" s="44" customFormat="1" ht="15.5" customHeight="1" x14ac:dyDescent="0.2">
      <c r="A10" s="42"/>
      <c r="B10" s="41"/>
      <c r="C10" s="42" t="s">
        <v>486</v>
      </c>
      <c r="D10" s="42" t="s">
        <v>531</v>
      </c>
      <c r="E10" s="42"/>
      <c r="F10" s="42"/>
      <c r="G10" s="42"/>
      <c r="H10" s="42"/>
      <c r="I10" s="42"/>
      <c r="J10" s="42"/>
      <c r="K10" s="42"/>
      <c r="L10" s="42"/>
      <c r="M10" s="42" t="s">
        <v>2179</v>
      </c>
      <c r="N10" s="663"/>
      <c r="O10" s="17" t="s">
        <v>498</v>
      </c>
      <c r="P10" s="42"/>
      <c r="Q10" s="38" t="s">
        <v>1547</v>
      </c>
      <c r="R10" s="38"/>
      <c r="S10" s="38" t="s">
        <v>701</v>
      </c>
    </row>
    <row r="11" spans="1:19" s="44" customFormat="1" ht="15.5" customHeight="1" x14ac:dyDescent="0.2">
      <c r="A11" s="42"/>
      <c r="B11" s="41"/>
      <c r="C11" s="42" t="s">
        <v>486</v>
      </c>
      <c r="D11" s="42" t="s">
        <v>532</v>
      </c>
      <c r="E11" s="42"/>
      <c r="F11" s="42"/>
      <c r="G11" s="42"/>
      <c r="H11" s="42"/>
      <c r="I11" s="42"/>
      <c r="J11" s="42"/>
      <c r="K11" s="42"/>
      <c r="L11" s="42"/>
      <c r="M11" s="42" t="s">
        <v>2179</v>
      </c>
      <c r="N11" s="663"/>
      <c r="O11" s="17" t="str">
        <f t="shared" ref="O11:O13" si="1">O10</f>
        <v>ACP1.03</v>
      </c>
      <c r="P11" s="42"/>
      <c r="Q11" s="38" t="s">
        <v>1547</v>
      </c>
      <c r="R11" s="38"/>
      <c r="S11" s="38" t="s">
        <v>700</v>
      </c>
    </row>
    <row r="12" spans="1:19" s="44" customFormat="1" ht="15.5" customHeight="1" x14ac:dyDescent="0.2">
      <c r="A12" s="42"/>
      <c r="B12" s="41"/>
      <c r="C12" s="42" t="s">
        <v>486</v>
      </c>
      <c r="D12" s="42" t="s">
        <v>533</v>
      </c>
      <c r="E12" s="42"/>
      <c r="F12" s="42"/>
      <c r="G12" s="42"/>
      <c r="H12" s="42"/>
      <c r="I12" s="42"/>
      <c r="J12" s="42"/>
      <c r="K12" s="42"/>
      <c r="L12" s="42"/>
      <c r="M12" s="42" t="s">
        <v>2179</v>
      </c>
      <c r="N12" s="663"/>
      <c r="O12" s="17" t="str">
        <f t="shared" si="1"/>
        <v>ACP1.03</v>
      </c>
      <c r="P12" s="42"/>
      <c r="Q12" s="38" t="s">
        <v>1547</v>
      </c>
      <c r="R12" s="38"/>
      <c r="S12" s="38" t="s">
        <v>699</v>
      </c>
    </row>
    <row r="13" spans="1:19" s="44" customFormat="1" ht="15.5" customHeight="1" x14ac:dyDescent="0.2">
      <c r="A13" s="42"/>
      <c r="B13" s="41"/>
      <c r="C13" s="42" t="s">
        <v>486</v>
      </c>
      <c r="D13" s="42" t="s">
        <v>534</v>
      </c>
      <c r="E13" s="42"/>
      <c r="F13" s="42"/>
      <c r="G13" s="42"/>
      <c r="H13" s="42"/>
      <c r="I13" s="42"/>
      <c r="J13" s="42"/>
      <c r="K13" s="42"/>
      <c r="L13" s="42"/>
      <c r="M13" s="346" t="s">
        <v>49</v>
      </c>
      <c r="N13" s="663"/>
      <c r="O13" s="17" t="str">
        <f t="shared" si="1"/>
        <v>ACP1.03</v>
      </c>
      <c r="P13" s="42"/>
      <c r="Q13" s="38" t="s">
        <v>1547</v>
      </c>
      <c r="R13" s="38"/>
      <c r="S13" s="38" t="s">
        <v>702</v>
      </c>
    </row>
    <row r="14" spans="1:19" s="44" customFormat="1" ht="15.5" customHeight="1" x14ac:dyDescent="0.2">
      <c r="A14" s="42"/>
      <c r="B14" s="41"/>
      <c r="C14" s="42" t="s">
        <v>486</v>
      </c>
      <c r="D14" s="42" t="s">
        <v>535</v>
      </c>
      <c r="E14" s="42"/>
      <c r="F14" s="42"/>
      <c r="G14" s="42"/>
      <c r="H14" s="5"/>
      <c r="I14" s="5"/>
      <c r="J14" s="5"/>
      <c r="K14" s="42"/>
      <c r="L14" s="42" t="s">
        <v>2179</v>
      </c>
      <c r="M14" s="129" t="s">
        <v>2180</v>
      </c>
      <c r="N14" s="663"/>
      <c r="O14" s="732" t="s">
        <v>499</v>
      </c>
      <c r="P14" s="42"/>
      <c r="Q14" s="38" t="s">
        <v>1547</v>
      </c>
      <c r="R14" s="38"/>
      <c r="S14" s="38" t="s">
        <v>779</v>
      </c>
    </row>
    <row r="15" spans="1:19" s="44" customFormat="1" ht="15.5" customHeight="1" x14ac:dyDescent="0.2">
      <c r="A15" s="42"/>
      <c r="B15" s="41"/>
      <c r="C15" s="42" t="s">
        <v>486</v>
      </c>
      <c r="D15" s="42" t="s">
        <v>536</v>
      </c>
      <c r="E15" s="42"/>
      <c r="F15" s="42"/>
      <c r="G15" s="42"/>
      <c r="H15" s="5"/>
      <c r="I15" s="5"/>
      <c r="J15" s="5"/>
      <c r="K15" s="42"/>
      <c r="L15" s="42" t="s">
        <v>2179</v>
      </c>
      <c r="M15" s="129" t="s">
        <v>2180</v>
      </c>
      <c r="N15" s="663"/>
      <c r="O15" s="732" t="str">
        <f t="shared" ref="O15:O17" si="2">O14</f>
        <v>ACP1.04</v>
      </c>
      <c r="P15" s="42"/>
      <c r="Q15" s="38" t="s">
        <v>1547</v>
      </c>
      <c r="R15" s="38"/>
      <c r="S15" s="38" t="s">
        <v>780</v>
      </c>
    </row>
    <row r="16" spans="1:19" s="44" customFormat="1" ht="15.5" customHeight="1" x14ac:dyDescent="0.2">
      <c r="A16" s="42"/>
      <c r="B16" s="41"/>
      <c r="C16" s="42" t="s">
        <v>486</v>
      </c>
      <c r="D16" s="42" t="s">
        <v>537</v>
      </c>
      <c r="E16" s="42"/>
      <c r="F16" s="42"/>
      <c r="G16" s="42"/>
      <c r="H16" s="42"/>
      <c r="I16" s="42"/>
      <c r="J16" s="42"/>
      <c r="K16" s="42"/>
      <c r="L16" s="42" t="s">
        <v>2179</v>
      </c>
      <c r="M16" s="42" t="s">
        <v>2179</v>
      </c>
      <c r="N16" s="663"/>
      <c r="O16" s="732" t="str">
        <f t="shared" si="2"/>
        <v>ACP1.04</v>
      </c>
      <c r="P16" s="42"/>
      <c r="Q16" s="38" t="s">
        <v>1547</v>
      </c>
      <c r="R16" s="38"/>
      <c r="S16" s="38" t="s">
        <v>781</v>
      </c>
    </row>
    <row r="17" spans="1:19" s="44" customFormat="1" ht="15.5" customHeight="1" x14ac:dyDescent="0.2">
      <c r="A17" s="42"/>
      <c r="B17" s="41"/>
      <c r="C17" s="42" t="s">
        <v>486</v>
      </c>
      <c r="D17" s="661" t="s">
        <v>627</v>
      </c>
      <c r="E17" s="661"/>
      <c r="F17" s="661"/>
      <c r="G17" s="661"/>
      <c r="H17" s="661"/>
      <c r="I17" s="661"/>
      <c r="J17" s="661"/>
      <c r="K17" s="661"/>
      <c r="L17" s="661"/>
      <c r="M17" s="661"/>
      <c r="N17" s="663"/>
      <c r="O17" s="732" t="str">
        <f t="shared" si="2"/>
        <v>ACP1.04</v>
      </c>
      <c r="P17" s="42"/>
      <c r="Q17" s="38" t="s">
        <v>1547</v>
      </c>
      <c r="R17" s="38"/>
      <c r="S17" s="662"/>
    </row>
    <row r="18" spans="1:19" s="44" customFormat="1" ht="15.5" customHeight="1" x14ac:dyDescent="0.2">
      <c r="A18" s="42"/>
      <c r="B18" s="41"/>
      <c r="C18" s="42" t="s">
        <v>486</v>
      </c>
      <c r="D18" s="42" t="s">
        <v>1085</v>
      </c>
      <c r="E18" s="42"/>
      <c r="F18" s="42"/>
      <c r="G18" s="42"/>
      <c r="H18" s="5"/>
      <c r="I18" s="5"/>
      <c r="J18" s="5"/>
      <c r="K18" s="42"/>
      <c r="L18" s="42" t="s">
        <v>2179</v>
      </c>
      <c r="M18" s="42" t="s">
        <v>2179</v>
      </c>
      <c r="N18" s="663"/>
      <c r="O18" s="732" t="s">
        <v>500</v>
      </c>
      <c r="P18" s="38"/>
      <c r="Q18" s="38" t="s">
        <v>447</v>
      </c>
      <c r="R18" s="38">
        <v>788891492</v>
      </c>
      <c r="S18" s="38" t="s">
        <v>2206</v>
      </c>
    </row>
    <row r="19" spans="1:19" s="40" customFormat="1" ht="15.5" customHeight="1" x14ac:dyDescent="0.2">
      <c r="A19" s="45"/>
      <c r="B19" s="41" t="s">
        <v>1094</v>
      </c>
      <c r="C19" s="42" t="s">
        <v>486</v>
      </c>
      <c r="D19" s="42" t="s">
        <v>1087</v>
      </c>
      <c r="E19" s="42"/>
      <c r="F19" s="42"/>
      <c r="G19" s="42"/>
      <c r="H19" s="5"/>
      <c r="I19" s="5"/>
      <c r="J19" s="5"/>
      <c r="K19" s="42"/>
      <c r="L19" s="42" t="s">
        <v>2179</v>
      </c>
      <c r="M19" s="42" t="s">
        <v>2179</v>
      </c>
      <c r="N19" s="663"/>
      <c r="O19" s="732" t="str">
        <f t="shared" ref="O19:O21" si="3">O18</f>
        <v>ACP1.05</v>
      </c>
      <c r="P19" s="42"/>
      <c r="Q19" s="38" t="s">
        <v>1547</v>
      </c>
      <c r="R19" s="38"/>
      <c r="S19" s="38" t="s">
        <v>1089</v>
      </c>
    </row>
    <row r="20" spans="1:19" s="44" customFormat="1" ht="15.5" customHeight="1" x14ac:dyDescent="0.2">
      <c r="A20" s="42"/>
      <c r="B20" s="41" t="s">
        <v>1096</v>
      </c>
      <c r="C20" s="42" t="s">
        <v>486</v>
      </c>
      <c r="D20" s="42" t="s">
        <v>1086</v>
      </c>
      <c r="E20" s="42"/>
      <c r="F20" s="42"/>
      <c r="G20" s="42"/>
      <c r="H20" s="42"/>
      <c r="I20" s="42"/>
      <c r="J20" s="42"/>
      <c r="K20" s="42"/>
      <c r="L20" s="42" t="s">
        <v>2179</v>
      </c>
      <c r="M20" s="42" t="s">
        <v>2179</v>
      </c>
      <c r="N20" s="663"/>
      <c r="O20" s="732" t="str">
        <f t="shared" si="3"/>
        <v>ACP1.05</v>
      </c>
      <c r="P20" s="42"/>
      <c r="Q20" s="38" t="s">
        <v>1547</v>
      </c>
      <c r="R20" s="38"/>
      <c r="S20" s="38" t="s">
        <v>1088</v>
      </c>
    </row>
    <row r="21" spans="1:19" s="44" customFormat="1" ht="15.5" customHeight="1" x14ac:dyDescent="0.2">
      <c r="A21" s="42"/>
      <c r="B21" s="41"/>
      <c r="C21" s="42" t="s">
        <v>486</v>
      </c>
      <c r="D21" s="661" t="s">
        <v>627</v>
      </c>
      <c r="E21" s="661"/>
      <c r="F21" s="661"/>
      <c r="G21" s="661"/>
      <c r="H21" s="661"/>
      <c r="I21" s="661"/>
      <c r="J21" s="661"/>
      <c r="K21" s="661"/>
      <c r="L21" s="661"/>
      <c r="M21" s="661"/>
      <c r="N21" s="663"/>
      <c r="O21" s="732" t="str">
        <f t="shared" si="3"/>
        <v>ACP1.05</v>
      </c>
      <c r="P21" s="42"/>
      <c r="Q21" s="38" t="s">
        <v>1547</v>
      </c>
      <c r="R21" s="38"/>
      <c r="S21" s="662"/>
    </row>
    <row r="22" spans="1:19" s="44" customFormat="1" ht="15.5" customHeight="1" x14ac:dyDescent="0.2">
      <c r="A22" s="42"/>
      <c r="B22" s="41"/>
      <c r="C22" s="42" t="s">
        <v>486</v>
      </c>
      <c r="D22" s="42" t="s">
        <v>1126</v>
      </c>
      <c r="E22" s="42" t="s">
        <v>1133</v>
      </c>
      <c r="F22" s="42"/>
      <c r="G22" s="42"/>
      <c r="H22" s="42"/>
      <c r="I22" s="669"/>
      <c r="J22" s="669"/>
      <c r="K22" s="42"/>
      <c r="L22" s="42" t="s">
        <v>2179</v>
      </c>
      <c r="M22" s="42" t="s">
        <v>2179</v>
      </c>
      <c r="N22" s="663"/>
      <c r="O22" s="17" t="s">
        <v>501</v>
      </c>
      <c r="P22" s="42"/>
      <c r="Q22" s="38" t="s">
        <v>1547</v>
      </c>
      <c r="R22" s="38"/>
      <c r="S22" s="42" t="s">
        <v>1130</v>
      </c>
    </row>
    <row r="23" spans="1:19" s="44" customFormat="1" ht="15.5" customHeight="1" x14ac:dyDescent="0.2">
      <c r="A23" s="42"/>
      <c r="B23" s="41"/>
      <c r="C23" s="42" t="s">
        <v>486</v>
      </c>
      <c r="D23" s="42" t="s">
        <v>1127</v>
      </c>
      <c r="E23" s="42"/>
      <c r="F23" s="42"/>
      <c r="G23" s="42"/>
      <c r="H23" s="42"/>
      <c r="I23" s="669"/>
      <c r="J23" s="669"/>
      <c r="K23" s="42"/>
      <c r="L23" s="42" t="s">
        <v>2179</v>
      </c>
      <c r="M23" s="42" t="s">
        <v>2179</v>
      </c>
      <c r="N23" s="663"/>
      <c r="O23" s="17" t="str">
        <f>O22</f>
        <v>ACP1.06</v>
      </c>
      <c r="P23" s="42"/>
      <c r="Q23" s="38" t="s">
        <v>1547</v>
      </c>
      <c r="R23" s="38"/>
      <c r="S23" s="42" t="s">
        <v>1131</v>
      </c>
    </row>
    <row r="24" spans="1:19" s="44" customFormat="1" ht="17" x14ac:dyDescent="0.2">
      <c r="A24" s="42"/>
      <c r="B24" s="41"/>
      <c r="C24" s="42" t="s">
        <v>486</v>
      </c>
      <c r="D24" s="42" t="s">
        <v>1128</v>
      </c>
      <c r="E24" s="42"/>
      <c r="F24" s="42"/>
      <c r="G24" s="42"/>
      <c r="H24" s="42"/>
      <c r="I24" s="669"/>
      <c r="J24" s="669"/>
      <c r="K24" s="42"/>
      <c r="L24" s="42" t="s">
        <v>2179</v>
      </c>
      <c r="M24" s="42" t="s">
        <v>2179</v>
      </c>
      <c r="N24" s="663"/>
      <c r="O24" s="17" t="str">
        <f>O23</f>
        <v>ACP1.06</v>
      </c>
      <c r="P24" s="42"/>
      <c r="Q24" s="38" t="s">
        <v>447</v>
      </c>
      <c r="R24" s="38">
        <v>788891576</v>
      </c>
      <c r="S24" s="42" t="s">
        <v>1132</v>
      </c>
    </row>
    <row r="25" spans="1:19" s="44" customFormat="1" ht="15.5" customHeight="1" x14ac:dyDescent="0.2">
      <c r="A25" s="42"/>
      <c r="B25" s="41"/>
      <c r="C25" s="42" t="s">
        <v>486</v>
      </c>
      <c r="D25" s="42" t="s">
        <v>1136</v>
      </c>
      <c r="E25" s="42"/>
      <c r="F25" s="42"/>
      <c r="G25" s="42"/>
      <c r="H25" s="42"/>
      <c r="I25" s="669"/>
      <c r="J25" s="669"/>
      <c r="K25" s="42"/>
      <c r="L25" s="42" t="s">
        <v>1139</v>
      </c>
      <c r="M25" s="42"/>
      <c r="N25" s="663"/>
      <c r="O25" s="732" t="s">
        <v>502</v>
      </c>
      <c r="P25" s="42"/>
      <c r="Q25" s="38" t="s">
        <v>1547</v>
      </c>
      <c r="R25" s="38"/>
      <c r="S25" s="42"/>
    </row>
    <row r="26" spans="1:19" s="44" customFormat="1" ht="15.5" customHeight="1" x14ac:dyDescent="0.2">
      <c r="A26" s="42"/>
      <c r="B26" s="41"/>
      <c r="C26" s="42" t="s">
        <v>486</v>
      </c>
      <c r="D26" s="42" t="s">
        <v>1137</v>
      </c>
      <c r="E26" s="42"/>
      <c r="F26" s="42"/>
      <c r="G26" s="42"/>
      <c r="H26" s="42"/>
      <c r="I26" s="669"/>
      <c r="J26" s="669"/>
      <c r="K26" s="42"/>
      <c r="L26" s="42" t="s">
        <v>1139</v>
      </c>
      <c r="M26" s="42"/>
      <c r="N26" s="663"/>
      <c r="O26" s="732" t="str">
        <f t="shared" ref="O26:O28" si="4">O25</f>
        <v>ACP1.07</v>
      </c>
      <c r="P26" s="42"/>
      <c r="Q26" s="38" t="s">
        <v>1547</v>
      </c>
      <c r="R26" s="38"/>
      <c r="S26" s="42"/>
    </row>
    <row r="27" spans="1:19" s="44" customFormat="1" ht="15.5" customHeight="1" x14ac:dyDescent="0.2">
      <c r="A27" s="42"/>
      <c r="B27" s="41"/>
      <c r="C27" s="42" t="s">
        <v>486</v>
      </c>
      <c r="D27" s="42" t="s">
        <v>1138</v>
      </c>
      <c r="E27" s="42"/>
      <c r="F27" s="42"/>
      <c r="G27" s="42"/>
      <c r="H27" s="42"/>
      <c r="I27" s="669"/>
      <c r="J27" s="669"/>
      <c r="K27" s="42"/>
      <c r="L27" s="42" t="s">
        <v>1139</v>
      </c>
      <c r="M27" s="42"/>
      <c r="N27" s="663"/>
      <c r="O27" s="732" t="str">
        <f t="shared" si="4"/>
        <v>ACP1.07</v>
      </c>
      <c r="P27" s="42"/>
      <c r="Q27" s="38" t="s">
        <v>1547</v>
      </c>
      <c r="R27" s="38"/>
      <c r="S27" s="42"/>
    </row>
    <row r="28" spans="1:19" s="44" customFormat="1" ht="15.5" customHeight="1" x14ac:dyDescent="0.2">
      <c r="A28" s="42"/>
      <c r="B28" s="41"/>
      <c r="C28" s="42" t="s">
        <v>486</v>
      </c>
      <c r="D28" s="175" t="s">
        <v>538</v>
      </c>
      <c r="E28" s="42"/>
      <c r="F28" s="42"/>
      <c r="G28" s="175"/>
      <c r="H28" s="42"/>
      <c r="I28" s="669"/>
      <c r="J28" s="669"/>
      <c r="K28" s="42"/>
      <c r="L28" s="42"/>
      <c r="M28" s="42"/>
      <c r="N28" s="663"/>
      <c r="O28" s="732" t="str">
        <f t="shared" si="4"/>
        <v>ACP1.07</v>
      </c>
      <c r="P28" s="42"/>
      <c r="Q28" s="38" t="s">
        <v>1547</v>
      </c>
      <c r="R28" s="38"/>
      <c r="S28" s="42"/>
    </row>
    <row r="29" spans="1:19" s="44" customFormat="1" ht="15.5" customHeight="1" x14ac:dyDescent="0.2">
      <c r="A29" s="42"/>
      <c r="B29" s="41"/>
      <c r="C29" s="42" t="s">
        <v>486</v>
      </c>
      <c r="D29" s="42" t="s">
        <v>1151</v>
      </c>
      <c r="E29" s="42"/>
      <c r="F29" s="42"/>
      <c r="G29" s="42"/>
      <c r="H29" s="42"/>
      <c r="I29" s="669"/>
      <c r="J29" s="669"/>
      <c r="K29" s="42"/>
      <c r="L29" s="42" t="s">
        <v>2179</v>
      </c>
      <c r="M29" s="42" t="s">
        <v>2179</v>
      </c>
      <c r="N29" s="663"/>
      <c r="O29" s="732" t="s">
        <v>509</v>
      </c>
      <c r="P29" s="42"/>
      <c r="Q29" s="38" t="s">
        <v>1547</v>
      </c>
      <c r="R29" s="38"/>
      <c r="S29" s="42" t="s">
        <v>1131</v>
      </c>
    </row>
    <row r="30" spans="1:19" s="44" customFormat="1" ht="15.5" customHeight="1" x14ac:dyDescent="0.2">
      <c r="A30" s="42"/>
      <c r="B30" s="41"/>
      <c r="C30" s="42" t="s">
        <v>486</v>
      </c>
      <c r="D30" s="175"/>
      <c r="E30" s="42"/>
      <c r="F30" s="42"/>
      <c r="G30" s="175"/>
      <c r="H30" s="5"/>
      <c r="I30" s="670"/>
      <c r="J30" s="670"/>
      <c r="K30" s="42"/>
      <c r="L30" s="42"/>
      <c r="M30" s="5"/>
      <c r="N30" s="663"/>
      <c r="O30" s="732" t="str">
        <f t="shared" ref="O30:O32" si="5">O29</f>
        <v>ACP2.01</v>
      </c>
      <c r="P30" s="42"/>
      <c r="Q30" s="38" t="s">
        <v>1547</v>
      </c>
      <c r="R30" s="38"/>
      <c r="S30" s="42"/>
    </row>
    <row r="31" spans="1:19" s="44" customFormat="1" ht="15.5" customHeight="1" x14ac:dyDescent="0.2">
      <c r="A31" s="42"/>
      <c r="B31" s="41"/>
      <c r="C31" s="42" t="s">
        <v>486</v>
      </c>
      <c r="D31" s="175"/>
      <c r="E31" s="42"/>
      <c r="F31" s="42"/>
      <c r="G31" s="175"/>
      <c r="H31" s="5"/>
      <c r="I31" s="670"/>
      <c r="J31" s="670"/>
      <c r="K31" s="42"/>
      <c r="L31" s="42"/>
      <c r="M31" s="5"/>
      <c r="N31" s="663"/>
      <c r="O31" s="732" t="str">
        <f t="shared" si="5"/>
        <v>ACP2.01</v>
      </c>
      <c r="P31" s="42"/>
      <c r="Q31" s="38" t="s">
        <v>1547</v>
      </c>
      <c r="R31" s="38"/>
      <c r="S31" s="42"/>
    </row>
    <row r="32" spans="1:19" s="44" customFormat="1" ht="15.5" customHeight="1" x14ac:dyDescent="0.2">
      <c r="A32" s="42"/>
      <c r="B32" s="41"/>
      <c r="C32" s="42" t="s">
        <v>486</v>
      </c>
      <c r="D32" s="42"/>
      <c r="E32" s="42"/>
      <c r="F32" s="42"/>
      <c r="G32" s="42"/>
      <c r="H32" s="42"/>
      <c r="I32" s="669"/>
      <c r="J32" s="669"/>
      <c r="K32" s="42"/>
      <c r="L32" s="42"/>
      <c r="M32" s="42"/>
      <c r="N32" s="663"/>
      <c r="O32" s="732" t="str">
        <f t="shared" si="5"/>
        <v>ACP2.01</v>
      </c>
      <c r="P32" s="42"/>
      <c r="Q32" s="38" t="s">
        <v>1547</v>
      </c>
      <c r="R32" s="38"/>
      <c r="S32" s="42"/>
    </row>
    <row r="33" spans="1:19" s="44" customFormat="1" ht="100" customHeight="1" x14ac:dyDescent="0.2">
      <c r="A33" s="50"/>
      <c r="B33" s="41"/>
      <c r="C33" s="42" t="s">
        <v>486</v>
      </c>
      <c r="D33" s="42" t="s">
        <v>1145</v>
      </c>
      <c r="E33" s="667" t="s">
        <v>2135</v>
      </c>
      <c r="F33" s="41" t="s">
        <v>2220</v>
      </c>
      <c r="G33" s="41" t="s">
        <v>2113</v>
      </c>
      <c r="H33" s="692" t="s">
        <v>2217</v>
      </c>
      <c r="I33" s="671"/>
      <c r="J33" s="671"/>
      <c r="K33" s="42"/>
      <c r="L33" s="42" t="s">
        <v>2179</v>
      </c>
      <c r="M33" s="41" t="s">
        <v>2179</v>
      </c>
      <c r="N33" s="663"/>
      <c r="O33" s="17" t="s">
        <v>511</v>
      </c>
      <c r="P33" s="42"/>
      <c r="Q33" s="38" t="s">
        <v>1547</v>
      </c>
      <c r="R33" s="38"/>
      <c r="S33" s="42" t="s">
        <v>1148</v>
      </c>
    </row>
    <row r="34" spans="1:19" s="44" customFormat="1" ht="15.5" customHeight="1" x14ac:dyDescent="0.2">
      <c r="A34" s="42"/>
      <c r="B34" s="41"/>
      <c r="C34" s="42" t="s">
        <v>486</v>
      </c>
      <c r="D34" s="175" t="s">
        <v>1146</v>
      </c>
      <c r="E34" s="42"/>
      <c r="F34" s="42"/>
      <c r="G34" s="175"/>
      <c r="H34" s="5"/>
      <c r="I34" s="670"/>
      <c r="J34" s="670"/>
      <c r="K34" s="42"/>
      <c r="L34" s="42" t="s">
        <v>2179</v>
      </c>
      <c r="M34" s="129" t="s">
        <v>2180</v>
      </c>
      <c r="N34" s="663"/>
      <c r="O34" s="17" t="str">
        <f t="shared" ref="O34:O36" si="6">O33</f>
        <v>ACP2.02</v>
      </c>
      <c r="P34" s="42"/>
      <c r="Q34" s="38" t="s">
        <v>1547</v>
      </c>
      <c r="R34" s="38"/>
      <c r="S34" s="42" t="s">
        <v>456</v>
      </c>
    </row>
    <row r="35" spans="1:19" s="44" customFormat="1" ht="118" customHeight="1" x14ac:dyDescent="0.2">
      <c r="A35" s="50"/>
      <c r="B35" s="41"/>
      <c r="C35" s="42" t="s">
        <v>486</v>
      </c>
      <c r="D35" s="175" t="s">
        <v>1147</v>
      </c>
      <c r="E35" s="667" t="s">
        <v>2135</v>
      </c>
      <c r="F35" s="41" t="s">
        <v>2221</v>
      </c>
      <c r="G35" s="646" t="s">
        <v>2133</v>
      </c>
      <c r="H35" s="692" t="s">
        <v>2217</v>
      </c>
      <c r="I35" s="671"/>
      <c r="J35" s="671"/>
      <c r="K35" s="42"/>
      <c r="L35" s="42" t="s">
        <v>2179</v>
      </c>
      <c r="M35" s="657" t="s">
        <v>2188</v>
      </c>
      <c r="N35" s="663"/>
      <c r="O35" s="17" t="str">
        <f t="shared" si="6"/>
        <v>ACP2.02</v>
      </c>
      <c r="P35" s="42"/>
      <c r="Q35" s="38" t="s">
        <v>1547</v>
      </c>
      <c r="R35" s="38"/>
      <c r="S35" s="42" t="s">
        <v>2096</v>
      </c>
    </row>
    <row r="36" spans="1:19" s="44" customFormat="1" ht="80" customHeight="1" x14ac:dyDescent="0.2">
      <c r="A36" s="42"/>
      <c r="B36" s="41"/>
      <c r="C36" s="42" t="s">
        <v>486</v>
      </c>
      <c r="D36" s="42"/>
      <c r="E36" s="42"/>
      <c r="F36" s="42"/>
      <c r="G36" s="42"/>
      <c r="H36" s="42"/>
      <c r="I36" s="669"/>
      <c r="J36" s="669"/>
      <c r="K36" s="42"/>
      <c r="L36" s="42"/>
      <c r="M36" s="42"/>
      <c r="N36" s="663"/>
      <c r="O36" s="17" t="str">
        <f t="shared" si="6"/>
        <v>ACP2.02</v>
      </c>
      <c r="P36" s="42"/>
      <c r="Q36" s="38" t="s">
        <v>1547</v>
      </c>
      <c r="R36" s="38"/>
      <c r="S36" s="42"/>
    </row>
    <row r="37" spans="1:19" s="44" customFormat="1" ht="85" x14ac:dyDescent="0.2">
      <c r="A37" s="42"/>
      <c r="B37" s="705" t="s">
        <v>2072</v>
      </c>
      <c r="C37" s="42" t="s">
        <v>486</v>
      </c>
      <c r="D37" s="42" t="s">
        <v>625</v>
      </c>
      <c r="E37" s="668" t="s">
        <v>2201</v>
      </c>
      <c r="F37" s="41" t="s">
        <v>2420</v>
      </c>
      <c r="G37" s="646" t="s">
        <v>2212</v>
      </c>
      <c r="H37" s="692" t="s">
        <v>2214</v>
      </c>
      <c r="I37" s="702" t="s">
        <v>2392</v>
      </c>
      <c r="J37" s="702"/>
      <c r="K37" s="42"/>
      <c r="L37" s="42" t="s">
        <v>2179</v>
      </c>
      <c r="M37" s="42" t="s">
        <v>2179</v>
      </c>
      <c r="N37" s="663"/>
      <c r="O37" s="17" t="s">
        <v>483</v>
      </c>
      <c r="P37" s="42"/>
      <c r="Q37" s="38" t="s">
        <v>1547</v>
      </c>
      <c r="R37" s="38"/>
      <c r="S37" s="42" t="s">
        <v>713</v>
      </c>
    </row>
    <row r="38" spans="1:19" s="44" customFormat="1" ht="15.5" customHeight="1" x14ac:dyDescent="0.2">
      <c r="A38" s="42"/>
      <c r="B38" s="41"/>
      <c r="C38" s="42" t="s">
        <v>486</v>
      </c>
      <c r="D38" s="175" t="s">
        <v>626</v>
      </c>
      <c r="E38" s="42"/>
      <c r="F38" s="42"/>
      <c r="G38" s="175"/>
      <c r="H38" s="42"/>
      <c r="I38" s="669"/>
      <c r="J38" s="669"/>
      <c r="K38" s="42"/>
      <c r="L38" s="42"/>
      <c r="M38" s="42"/>
      <c r="N38" s="663"/>
      <c r="O38" s="17" t="str">
        <f t="shared" ref="O38:O40" si="7">O37</f>
        <v>ACP2.15</v>
      </c>
      <c r="P38" s="42"/>
      <c r="Q38" s="38" t="s">
        <v>1547</v>
      </c>
      <c r="R38" s="38"/>
      <c r="S38" s="42"/>
    </row>
    <row r="39" spans="1:19" s="44" customFormat="1" ht="15.5" customHeight="1" x14ac:dyDescent="0.2">
      <c r="A39" s="42"/>
      <c r="B39" s="41"/>
      <c r="C39" s="42" t="s">
        <v>486</v>
      </c>
      <c r="D39" s="175" t="s">
        <v>626</v>
      </c>
      <c r="E39" s="42"/>
      <c r="F39" s="42"/>
      <c r="G39" s="175"/>
      <c r="H39" s="42"/>
      <c r="I39" s="669"/>
      <c r="J39" s="669"/>
      <c r="K39" s="42"/>
      <c r="L39" s="42"/>
      <c r="M39" s="42"/>
      <c r="N39" s="663"/>
      <c r="O39" s="17" t="str">
        <f t="shared" si="7"/>
        <v>ACP2.15</v>
      </c>
      <c r="P39" s="42"/>
      <c r="Q39" s="38" t="s">
        <v>1547</v>
      </c>
      <c r="R39" s="38"/>
      <c r="S39" s="42"/>
    </row>
    <row r="40" spans="1:19" s="44" customFormat="1" ht="15.5" customHeight="1" x14ac:dyDescent="0.2">
      <c r="A40" s="42"/>
      <c r="B40" s="41"/>
      <c r="C40" s="42" t="s">
        <v>486</v>
      </c>
      <c r="D40" s="42" t="s">
        <v>627</v>
      </c>
      <c r="E40" s="42"/>
      <c r="F40" s="42"/>
      <c r="G40" s="42"/>
      <c r="H40" s="42"/>
      <c r="I40" s="669"/>
      <c r="J40" s="669"/>
      <c r="K40" s="42"/>
      <c r="L40" s="42"/>
      <c r="M40" s="42"/>
      <c r="N40" s="663"/>
      <c r="O40" s="17" t="str">
        <f t="shared" si="7"/>
        <v>ACP2.15</v>
      </c>
      <c r="P40" s="42"/>
      <c r="Q40" s="38" t="s">
        <v>1547</v>
      </c>
      <c r="R40" s="38"/>
      <c r="S40" s="42"/>
    </row>
    <row r="41" spans="1:19" s="44" customFormat="1" ht="15.5" customHeight="1" x14ac:dyDescent="0.2">
      <c r="A41" s="42"/>
      <c r="B41" s="41"/>
      <c r="C41" s="42" t="s">
        <v>486</v>
      </c>
      <c r="D41" s="42" t="s">
        <v>2207</v>
      </c>
      <c r="E41" s="42" t="s">
        <v>2209</v>
      </c>
      <c r="F41" s="42" t="s">
        <v>2211</v>
      </c>
      <c r="G41" s="42"/>
      <c r="H41" s="42"/>
      <c r="I41" s="669"/>
      <c r="J41" s="669"/>
      <c r="K41" s="42"/>
      <c r="L41" s="42" t="s">
        <v>2179</v>
      </c>
      <c r="M41" s="129" t="s">
        <v>2180</v>
      </c>
      <c r="N41" s="663"/>
      <c r="O41" s="732" t="s">
        <v>513</v>
      </c>
      <c r="P41" s="42"/>
      <c r="Q41" s="38" t="s">
        <v>1547</v>
      </c>
      <c r="R41" s="38"/>
      <c r="S41" s="42" t="s">
        <v>1643</v>
      </c>
    </row>
    <row r="42" spans="1:19" s="44" customFormat="1" ht="15.5" customHeight="1" x14ac:dyDescent="0.2">
      <c r="A42" s="42"/>
      <c r="B42" s="41"/>
      <c r="C42" s="42" t="s">
        <v>486</v>
      </c>
      <c r="D42" s="42" t="s">
        <v>2204</v>
      </c>
      <c r="E42" s="42" t="s">
        <v>2208</v>
      </c>
      <c r="F42" s="42" t="s">
        <v>2210</v>
      </c>
      <c r="G42" s="42"/>
      <c r="H42" s="42"/>
      <c r="I42" s="669"/>
      <c r="J42" s="669"/>
      <c r="K42" s="42"/>
      <c r="L42" s="346" t="s">
        <v>49</v>
      </c>
      <c r="M42" s="129" t="s">
        <v>2180</v>
      </c>
      <c r="N42" s="663"/>
      <c r="O42" s="732" t="str">
        <f t="shared" ref="O42" si="8">O41</f>
        <v>ACP4.01</v>
      </c>
      <c r="P42" s="42"/>
      <c r="Q42" s="38" t="s">
        <v>1547</v>
      </c>
      <c r="R42" s="38"/>
      <c r="S42" s="38" t="s">
        <v>1997</v>
      </c>
    </row>
    <row r="43" spans="1:19" s="44" customFormat="1" ht="15.5" customHeight="1" x14ac:dyDescent="0.2">
      <c r="A43" s="42"/>
      <c r="B43" s="435" t="s">
        <v>2027</v>
      </c>
      <c r="C43" s="42" t="s">
        <v>486</v>
      </c>
      <c r="D43" s="42" t="s">
        <v>1092</v>
      </c>
      <c r="E43" s="42"/>
      <c r="F43" s="42"/>
      <c r="G43" s="42"/>
      <c r="H43" s="42"/>
      <c r="I43" s="669"/>
      <c r="J43" s="669"/>
      <c r="K43" s="42"/>
      <c r="L43" s="346" t="s">
        <v>2009</v>
      </c>
      <c r="M43" s="42"/>
      <c r="N43" s="663"/>
      <c r="O43" s="17" t="s">
        <v>514</v>
      </c>
      <c r="P43" s="42"/>
      <c r="Q43" s="38" t="s">
        <v>1547</v>
      </c>
      <c r="R43" s="38"/>
      <c r="S43" s="42" t="s">
        <v>2031</v>
      </c>
    </row>
    <row r="44" spans="1:19" s="44" customFormat="1" ht="15.5" customHeight="1" x14ac:dyDescent="0.2">
      <c r="A44" s="42"/>
      <c r="B44" s="435" t="s">
        <v>2027</v>
      </c>
      <c r="C44" s="42" t="s">
        <v>486</v>
      </c>
      <c r="D44" s="42" t="s">
        <v>1100</v>
      </c>
      <c r="E44" s="42" t="s">
        <v>2029</v>
      </c>
      <c r="F44" s="42"/>
      <c r="G44" s="42"/>
      <c r="H44" s="42"/>
      <c r="I44" s="669"/>
      <c r="J44" s="669"/>
      <c r="K44" s="42"/>
      <c r="L44" s="346" t="s">
        <v>2028</v>
      </c>
      <c r="M44" s="42"/>
      <c r="N44" s="663"/>
      <c r="O44" s="17" t="str">
        <f t="shared" ref="O44:O46" si="9">O43</f>
        <v>ACP4.02</v>
      </c>
      <c r="P44" s="42"/>
      <c r="Q44" s="38" t="s">
        <v>1547</v>
      </c>
      <c r="R44" s="38"/>
      <c r="S44" s="38" t="s">
        <v>1102</v>
      </c>
    </row>
    <row r="45" spans="1:19" s="44" customFormat="1" ht="15.5" customHeight="1" x14ac:dyDescent="0.2">
      <c r="A45" s="42"/>
      <c r="B45" s="41" t="s">
        <v>2030</v>
      </c>
      <c r="C45" s="42" t="s">
        <v>486</v>
      </c>
      <c r="D45" s="42" t="s">
        <v>1091</v>
      </c>
      <c r="E45" s="42" t="s">
        <v>949</v>
      </c>
      <c r="F45" s="42"/>
      <c r="G45" s="42"/>
      <c r="H45" s="42"/>
      <c r="I45" s="669"/>
      <c r="J45" s="669"/>
      <c r="K45" s="42"/>
      <c r="L45" s="346" t="s">
        <v>2008</v>
      </c>
      <c r="M45" s="42"/>
      <c r="N45" s="663"/>
      <c r="O45" s="17" t="str">
        <f t="shared" si="9"/>
        <v>ACP4.02</v>
      </c>
      <c r="P45" s="42"/>
      <c r="Q45" s="38" t="s">
        <v>1547</v>
      </c>
      <c r="R45" s="38"/>
      <c r="S45" s="42" t="s">
        <v>1097</v>
      </c>
    </row>
    <row r="46" spans="1:19" s="44" customFormat="1" ht="68" x14ac:dyDescent="0.2">
      <c r="A46" s="42"/>
      <c r="B46" s="41"/>
      <c r="C46" s="42" t="s">
        <v>486</v>
      </c>
      <c r="D46" s="41" t="s">
        <v>2431</v>
      </c>
      <c r="E46" s="668" t="s">
        <v>2202</v>
      </c>
      <c r="F46" s="41" t="s">
        <v>2421</v>
      </c>
      <c r="G46" s="646" t="s">
        <v>2203</v>
      </c>
      <c r="H46" s="692" t="s">
        <v>2215</v>
      </c>
      <c r="I46" s="702" t="s">
        <v>2392</v>
      </c>
      <c r="J46" s="702"/>
      <c r="K46" s="42" t="s">
        <v>2430</v>
      </c>
      <c r="L46" s="41" t="s">
        <v>2181</v>
      </c>
      <c r="M46" s="657" t="s">
        <v>2187</v>
      </c>
      <c r="N46" s="663"/>
      <c r="O46" s="17" t="str">
        <f t="shared" si="9"/>
        <v>ACP4.02</v>
      </c>
      <c r="P46" s="42"/>
      <c r="Q46" s="38" t="s">
        <v>1547</v>
      </c>
      <c r="R46" s="38"/>
      <c r="S46" s="42" t="s">
        <v>2025</v>
      </c>
    </row>
    <row r="47" spans="1:19" s="44" customFormat="1" ht="23" customHeight="1" x14ac:dyDescent="0.2">
      <c r="A47" s="42"/>
      <c r="B47" s="655" t="s">
        <v>1122</v>
      </c>
      <c r="C47" s="42" t="s">
        <v>486</v>
      </c>
      <c r="D47" s="42" t="s">
        <v>1110</v>
      </c>
      <c r="E47" s="42" t="s">
        <v>1124</v>
      </c>
      <c r="F47" s="42"/>
      <c r="G47" s="42"/>
      <c r="H47" s="42"/>
      <c r="I47" s="669"/>
      <c r="J47" s="669"/>
      <c r="K47" s="42"/>
      <c r="L47" s="42" t="s">
        <v>2179</v>
      </c>
      <c r="M47" s="42" t="s">
        <v>2182</v>
      </c>
      <c r="N47" s="663"/>
      <c r="O47" s="17" t="s">
        <v>515</v>
      </c>
      <c r="P47" s="42"/>
      <c r="Q47" s="38" t="s">
        <v>1547</v>
      </c>
      <c r="R47" s="38"/>
      <c r="S47" s="42" t="s">
        <v>915</v>
      </c>
    </row>
    <row r="48" spans="1:19" s="44" customFormat="1" ht="15.5" customHeight="1" x14ac:dyDescent="0.2">
      <c r="A48" s="42"/>
      <c r="B48" s="41"/>
      <c r="C48" s="42" t="s">
        <v>486</v>
      </c>
      <c r="D48" s="42" t="s">
        <v>1111</v>
      </c>
      <c r="E48" s="42" t="s">
        <v>1124</v>
      </c>
      <c r="F48" s="42"/>
      <c r="G48" s="42"/>
      <c r="H48" s="42"/>
      <c r="I48" s="669"/>
      <c r="J48" s="669"/>
      <c r="K48" s="42"/>
      <c r="L48" s="42" t="s">
        <v>2179</v>
      </c>
      <c r="M48" s="42" t="s">
        <v>2182</v>
      </c>
      <c r="N48" s="663"/>
      <c r="O48" s="17" t="str">
        <f t="shared" ref="O48:O50" si="10">O47</f>
        <v>ACP4.03</v>
      </c>
      <c r="P48" s="42"/>
      <c r="Q48" s="38" t="s">
        <v>1547</v>
      </c>
      <c r="R48" s="38"/>
      <c r="S48" s="42" t="s">
        <v>1115</v>
      </c>
    </row>
    <row r="49" spans="1:20" s="44" customFormat="1" ht="45" customHeight="1" x14ac:dyDescent="0.2">
      <c r="A49" s="42"/>
      <c r="B49" s="41"/>
      <c r="C49" s="42" t="s">
        <v>486</v>
      </c>
      <c r="D49" s="42" t="s">
        <v>1112</v>
      </c>
      <c r="E49" s="41" t="s">
        <v>2465</v>
      </c>
      <c r="F49" s="42" t="s">
        <v>2399</v>
      </c>
      <c r="G49" s="42"/>
      <c r="H49" s="42"/>
      <c r="I49" s="703" t="s">
        <v>2419</v>
      </c>
      <c r="J49" s="703"/>
      <c r="K49" s="42"/>
      <c r="L49" s="42" t="s">
        <v>2179</v>
      </c>
      <c r="M49" s="42" t="s">
        <v>2179</v>
      </c>
      <c r="N49" s="663"/>
      <c r="O49" s="17" t="str">
        <f t="shared" si="10"/>
        <v>ACP4.03</v>
      </c>
      <c r="P49" s="42"/>
      <c r="Q49" s="38" t="s">
        <v>1547</v>
      </c>
      <c r="R49" s="38"/>
      <c r="S49" s="42" t="s">
        <v>915</v>
      </c>
    </row>
    <row r="50" spans="1:20" s="44" customFormat="1" ht="15.5" customHeight="1" x14ac:dyDescent="0.2">
      <c r="A50" s="42"/>
      <c r="B50" s="41"/>
      <c r="C50" s="42" t="s">
        <v>486</v>
      </c>
      <c r="D50" s="175"/>
      <c r="E50" s="42"/>
      <c r="F50" s="42"/>
      <c r="G50" s="175"/>
      <c r="H50" s="42"/>
      <c r="I50" s="669"/>
      <c r="J50" s="669"/>
      <c r="K50" s="42"/>
      <c r="L50" s="42"/>
      <c r="M50" s="42"/>
      <c r="N50" s="663"/>
      <c r="O50" s="17" t="str">
        <f t="shared" si="10"/>
        <v>ACP4.03</v>
      </c>
      <c r="P50" s="42"/>
      <c r="Q50" s="38" t="s">
        <v>1547</v>
      </c>
      <c r="R50" s="38"/>
      <c r="S50" s="42"/>
    </row>
    <row r="51" spans="1:20" s="44" customFormat="1" ht="15.5" customHeight="1" x14ac:dyDescent="0.2">
      <c r="A51" s="42"/>
      <c r="B51" s="41"/>
      <c r="C51" s="42" t="s">
        <v>486</v>
      </c>
      <c r="D51" s="42" t="s">
        <v>1075</v>
      </c>
      <c r="E51" s="42" t="s">
        <v>1079</v>
      </c>
      <c r="F51" s="42"/>
      <c r="G51" s="42"/>
      <c r="H51" s="42"/>
      <c r="I51" s="669"/>
      <c r="J51" s="669"/>
      <c r="K51" s="42"/>
      <c r="L51" s="42" t="s">
        <v>2179</v>
      </c>
      <c r="M51" s="129" t="s">
        <v>2180</v>
      </c>
      <c r="N51" s="663"/>
      <c r="O51" s="17" t="s">
        <v>516</v>
      </c>
      <c r="P51" s="42"/>
      <c r="Q51" s="38" t="s">
        <v>1547</v>
      </c>
      <c r="R51" s="38"/>
      <c r="S51" s="42" t="s">
        <v>1078</v>
      </c>
    </row>
    <row r="52" spans="1:20" s="44" customFormat="1" ht="34" customHeight="1" x14ac:dyDescent="0.2">
      <c r="A52" s="42"/>
      <c r="B52" s="41" t="s">
        <v>1095</v>
      </c>
      <c r="C52" s="42" t="s">
        <v>486</v>
      </c>
      <c r="D52" s="42" t="s">
        <v>1077</v>
      </c>
      <c r="E52" s="42"/>
      <c r="F52" s="42"/>
      <c r="G52" s="42"/>
      <c r="H52" s="42"/>
      <c r="I52" s="669"/>
      <c r="J52" s="669"/>
      <c r="K52" s="42"/>
      <c r="L52" s="42" t="s">
        <v>2179</v>
      </c>
      <c r="M52" s="42"/>
      <c r="N52" s="663"/>
      <c r="O52" s="17" t="str">
        <f t="shared" ref="O52:O54" si="11">O51</f>
        <v>ACP5.01</v>
      </c>
      <c r="P52" s="42"/>
      <c r="Q52" s="38" t="s">
        <v>1547</v>
      </c>
      <c r="R52" s="38"/>
      <c r="S52" s="42" t="s">
        <v>699</v>
      </c>
    </row>
    <row r="53" spans="1:20" s="44" customFormat="1" ht="90" customHeight="1" x14ac:dyDescent="0.2">
      <c r="A53" s="659"/>
      <c r="B53" s="41" t="s">
        <v>2098</v>
      </c>
      <c r="C53" s="42" t="s">
        <v>486</v>
      </c>
      <c r="D53" s="42" t="s">
        <v>590</v>
      </c>
      <c r="E53" s="667" t="s">
        <v>2138</v>
      </c>
      <c r="F53" s="41" t="s">
        <v>2223</v>
      </c>
      <c r="G53" s="646" t="s">
        <v>2140</v>
      </c>
      <c r="H53" s="692" t="s">
        <v>2151</v>
      </c>
      <c r="I53" s="671"/>
      <c r="J53" s="671"/>
      <c r="K53" s="42"/>
      <c r="L53" s="42" t="s">
        <v>2179</v>
      </c>
      <c r="M53" s="657" t="s">
        <v>2188</v>
      </c>
      <c r="N53" s="663"/>
      <c r="O53" s="17" t="str">
        <f t="shared" si="11"/>
        <v>ACP5.01</v>
      </c>
      <c r="P53" s="42"/>
      <c r="Q53" s="38" t="s">
        <v>1547</v>
      </c>
      <c r="R53" s="38"/>
      <c r="S53" s="42" t="s">
        <v>2125</v>
      </c>
    </row>
    <row r="54" spans="1:20" s="44" customFormat="1" ht="15.5" customHeight="1" x14ac:dyDescent="0.2">
      <c r="A54" s="42"/>
      <c r="B54" s="41"/>
      <c r="C54" s="42" t="s">
        <v>486</v>
      </c>
      <c r="D54" s="42" t="s">
        <v>1076</v>
      </c>
      <c r="E54" s="42" t="s">
        <v>1080</v>
      </c>
      <c r="F54" s="42"/>
      <c r="G54" s="42"/>
      <c r="H54" s="42"/>
      <c r="I54" s="669"/>
      <c r="J54" s="669"/>
      <c r="K54" s="42"/>
      <c r="L54" s="42" t="s">
        <v>2179</v>
      </c>
      <c r="M54" s="129" t="s">
        <v>2180</v>
      </c>
      <c r="N54" s="663"/>
      <c r="O54" s="17" t="str">
        <f t="shared" si="11"/>
        <v>ACP5.01</v>
      </c>
      <c r="P54" s="42"/>
      <c r="Q54" s="38" t="s">
        <v>1547</v>
      </c>
      <c r="R54" s="38"/>
      <c r="S54" s="42" t="s">
        <v>1081</v>
      </c>
    </row>
    <row r="55" spans="1:20" s="44" customFormat="1" ht="15.5" customHeight="1" x14ac:dyDescent="0.2">
      <c r="A55" s="42"/>
      <c r="B55" s="41"/>
      <c r="C55" s="42" t="s">
        <v>486</v>
      </c>
      <c r="D55" s="42" t="s">
        <v>1065</v>
      </c>
      <c r="E55" s="42"/>
      <c r="F55" s="42"/>
      <c r="G55" s="42"/>
      <c r="H55" s="42"/>
      <c r="I55" s="669"/>
      <c r="J55" s="669"/>
      <c r="K55" s="42"/>
      <c r="L55" s="42" t="s">
        <v>2179</v>
      </c>
      <c r="M55" s="42"/>
      <c r="N55" s="663"/>
      <c r="O55" s="732" t="s">
        <v>517</v>
      </c>
      <c r="P55" s="42"/>
      <c r="Q55" s="38" t="s">
        <v>1547</v>
      </c>
      <c r="R55" s="38"/>
      <c r="S55" s="42" t="s">
        <v>1118</v>
      </c>
    </row>
    <row r="56" spans="1:20" s="44" customFormat="1" ht="15.5" customHeight="1" x14ac:dyDescent="0.2">
      <c r="A56" s="42"/>
      <c r="B56" s="41"/>
      <c r="C56" s="42" t="s">
        <v>486</v>
      </c>
      <c r="D56" s="42" t="s">
        <v>1063</v>
      </c>
      <c r="E56" s="42"/>
      <c r="F56" s="42"/>
      <c r="G56" s="42"/>
      <c r="H56" s="5"/>
      <c r="I56" s="670"/>
      <c r="J56" s="670"/>
      <c r="K56" s="42"/>
      <c r="L56" s="42" t="s">
        <v>2179</v>
      </c>
      <c r="M56" s="5"/>
      <c r="N56" s="663"/>
      <c r="O56" s="732" t="str">
        <f t="shared" ref="O56:O58" si="12">O55</f>
        <v>ACP5.02</v>
      </c>
      <c r="P56" s="42"/>
      <c r="Q56" s="38" t="s">
        <v>1547</v>
      </c>
      <c r="R56" s="38"/>
      <c r="S56" s="42" t="s">
        <v>1119</v>
      </c>
    </row>
    <row r="57" spans="1:20" s="44" customFormat="1" ht="15.5" customHeight="1" x14ac:dyDescent="0.2">
      <c r="A57" s="42"/>
      <c r="B57" s="41"/>
      <c r="C57" s="42" t="s">
        <v>486</v>
      </c>
      <c r="D57" s="42" t="s">
        <v>1064</v>
      </c>
      <c r="E57" s="42"/>
      <c r="F57" s="42"/>
      <c r="G57" s="42"/>
      <c r="H57" s="42"/>
      <c r="I57" s="669"/>
      <c r="J57" s="669"/>
      <c r="K57" s="42"/>
      <c r="L57" s="42" t="s">
        <v>2179</v>
      </c>
      <c r="M57" s="42"/>
      <c r="N57" s="663"/>
      <c r="O57" s="732" t="str">
        <f t="shared" si="12"/>
        <v>ACP5.02</v>
      </c>
      <c r="P57" s="42"/>
      <c r="Q57" s="38" t="s">
        <v>1547</v>
      </c>
      <c r="R57" s="38"/>
      <c r="S57" s="42" t="s">
        <v>1120</v>
      </c>
    </row>
    <row r="58" spans="1:20" s="44" customFormat="1" ht="15.5" customHeight="1" x14ac:dyDescent="0.2">
      <c r="A58" s="42"/>
      <c r="B58" s="41"/>
      <c r="C58" s="42" t="s">
        <v>486</v>
      </c>
      <c r="D58" s="42" t="s">
        <v>1066</v>
      </c>
      <c r="E58" s="42"/>
      <c r="F58" s="42"/>
      <c r="G58" s="42"/>
      <c r="H58" s="42"/>
      <c r="I58" s="669"/>
      <c r="J58" s="669"/>
      <c r="K58" s="42"/>
      <c r="L58" s="42" t="s">
        <v>2179</v>
      </c>
      <c r="M58" s="42"/>
      <c r="N58" s="663"/>
      <c r="O58" s="732" t="str">
        <f t="shared" si="12"/>
        <v>ACP5.02</v>
      </c>
      <c r="P58" s="42"/>
      <c r="Q58" s="38" t="s">
        <v>1547</v>
      </c>
      <c r="R58" s="38"/>
      <c r="S58" s="42" t="s">
        <v>1121</v>
      </c>
    </row>
    <row r="59" spans="1:20" s="44" customFormat="1" ht="89" customHeight="1" x14ac:dyDescent="0.2">
      <c r="A59" s="659"/>
      <c r="B59" s="41"/>
      <c r="C59" s="42" t="s">
        <v>486</v>
      </c>
      <c r="D59" s="42" t="s">
        <v>1771</v>
      </c>
      <c r="E59" s="667" t="s">
        <v>2190</v>
      </c>
      <c r="F59" s="41" t="s">
        <v>2219</v>
      </c>
      <c r="G59" s="646" t="s">
        <v>2114</v>
      </c>
      <c r="H59" s="692" t="s">
        <v>2152</v>
      </c>
      <c r="I59" s="671"/>
      <c r="J59" s="671"/>
      <c r="K59" s="42"/>
      <c r="L59" s="42" t="s">
        <v>2179</v>
      </c>
      <c r="M59" s="42" t="s">
        <v>2179</v>
      </c>
      <c r="N59" s="663"/>
      <c r="O59" s="17" t="s">
        <v>1649</v>
      </c>
      <c r="P59" s="42"/>
      <c r="Q59" s="38" t="s">
        <v>1547</v>
      </c>
      <c r="R59" s="38"/>
      <c r="S59" s="42" t="s">
        <v>1559</v>
      </c>
    </row>
    <row r="60" spans="1:20" s="44" customFormat="1" ht="39" customHeight="1" x14ac:dyDescent="0.2">
      <c r="A60" s="42"/>
      <c r="B60" s="706"/>
      <c r="C60" s="676" t="s">
        <v>486</v>
      </c>
      <c r="D60" s="676" t="s">
        <v>1286</v>
      </c>
      <c r="E60" s="676" t="s">
        <v>2218</v>
      </c>
      <c r="F60" s="676"/>
      <c r="G60" s="676"/>
      <c r="H60" s="677"/>
      <c r="I60" s="678"/>
      <c r="J60" s="678"/>
      <c r="K60" s="676"/>
      <c r="L60" s="676"/>
      <c r="M60" s="677"/>
      <c r="N60" s="676"/>
      <c r="O60" s="733" t="str">
        <f t="shared" ref="O60" si="13">O59</f>
        <v>ACP5.03</v>
      </c>
      <c r="P60" s="676"/>
      <c r="Q60" s="679" t="s">
        <v>1547</v>
      </c>
      <c r="R60" s="679"/>
      <c r="S60" s="676"/>
      <c r="T60" s="680"/>
    </row>
    <row r="61" spans="1:20" s="44" customFormat="1" ht="15.5" customHeight="1" x14ac:dyDescent="0.2">
      <c r="A61" s="42"/>
      <c r="B61" s="41"/>
      <c r="C61" s="42" t="s">
        <v>486</v>
      </c>
      <c r="D61" s="42" t="s">
        <v>1413</v>
      </c>
      <c r="E61" s="42"/>
      <c r="F61" s="42"/>
      <c r="G61" s="42"/>
      <c r="H61" s="42"/>
      <c r="I61" s="669"/>
      <c r="J61" s="669"/>
      <c r="K61" s="42"/>
      <c r="L61" s="42" t="s">
        <v>2179</v>
      </c>
      <c r="M61" s="129" t="s">
        <v>2180</v>
      </c>
      <c r="N61" s="663"/>
      <c r="O61" s="732" t="s">
        <v>1650</v>
      </c>
      <c r="P61" s="42"/>
      <c r="Q61" s="38" t="s">
        <v>1547</v>
      </c>
      <c r="R61" s="38"/>
      <c r="S61" s="42"/>
    </row>
    <row r="62" spans="1:20" s="44" customFormat="1" ht="15.5" customHeight="1" x14ac:dyDescent="0.2">
      <c r="A62" s="42"/>
      <c r="B62" s="41"/>
      <c r="C62" s="42" t="s">
        <v>486</v>
      </c>
      <c r="D62" s="42" t="s">
        <v>1774</v>
      </c>
      <c r="E62" s="42"/>
      <c r="F62" s="42"/>
      <c r="G62" s="42"/>
      <c r="H62" s="5"/>
      <c r="I62" s="670"/>
      <c r="J62" s="670"/>
      <c r="K62" s="42"/>
      <c r="L62" s="42" t="s">
        <v>2179</v>
      </c>
      <c r="M62" s="5"/>
      <c r="N62" s="663"/>
      <c r="O62" s="732" t="str">
        <f t="shared" ref="O62:O64" si="14">O61</f>
        <v>ACP5.04</v>
      </c>
      <c r="P62" s="42"/>
      <c r="Q62" s="38" t="s">
        <v>1547</v>
      </c>
      <c r="R62" s="38"/>
      <c r="S62" s="42"/>
    </row>
    <row r="63" spans="1:20" s="44" customFormat="1" ht="15.5" customHeight="1" x14ac:dyDescent="0.2">
      <c r="A63" s="42"/>
      <c r="B63" s="41"/>
      <c r="C63" s="42" t="s">
        <v>486</v>
      </c>
      <c r="D63" s="42" t="s">
        <v>1414</v>
      </c>
      <c r="E63" s="42"/>
      <c r="F63" s="42"/>
      <c r="G63" s="42"/>
      <c r="H63" s="42"/>
      <c r="I63" s="669"/>
      <c r="J63" s="669"/>
      <c r="K63" s="42"/>
      <c r="L63" s="42"/>
      <c r="M63" s="42"/>
      <c r="N63" s="663"/>
      <c r="O63" s="732" t="str">
        <f t="shared" si="14"/>
        <v>ACP5.04</v>
      </c>
      <c r="P63" s="42"/>
      <c r="Q63" s="38" t="s">
        <v>1547</v>
      </c>
      <c r="R63" s="38"/>
      <c r="S63" s="42"/>
    </row>
    <row r="64" spans="1:20" s="44" customFormat="1" ht="15.5" customHeight="1" x14ac:dyDescent="0.2">
      <c r="A64" s="42"/>
      <c r="B64" s="41"/>
      <c r="C64" s="42" t="s">
        <v>486</v>
      </c>
      <c r="D64" s="42" t="s">
        <v>1773</v>
      </c>
      <c r="E64" s="42"/>
      <c r="F64" s="42"/>
      <c r="G64" s="42"/>
      <c r="H64" s="42"/>
      <c r="I64" s="669"/>
      <c r="J64" s="669"/>
      <c r="K64" s="42"/>
      <c r="L64" s="42"/>
      <c r="M64" s="42"/>
      <c r="N64" s="663"/>
      <c r="O64" s="732" t="str">
        <f t="shared" si="14"/>
        <v>ACP5.04</v>
      </c>
      <c r="P64" s="42"/>
      <c r="Q64" s="38" t="s">
        <v>1547</v>
      </c>
      <c r="R64" s="38"/>
      <c r="S64" s="42"/>
    </row>
    <row r="65" spans="1:19" ht="16" customHeight="1" x14ac:dyDescent="0.2">
      <c r="A65" s="6"/>
      <c r="B65" s="41"/>
      <c r="C65" s="42" t="s">
        <v>486</v>
      </c>
      <c r="D65" s="42" t="s">
        <v>1759</v>
      </c>
      <c r="E65" s="42" t="s">
        <v>1764</v>
      </c>
      <c r="F65" s="42"/>
      <c r="G65" s="42"/>
      <c r="H65" s="476"/>
      <c r="I65" s="670"/>
      <c r="J65" s="670"/>
      <c r="K65" s="42"/>
      <c r="L65" s="42" t="s">
        <v>2179</v>
      </c>
      <c r="M65" s="476"/>
      <c r="N65" s="476" t="s">
        <v>1756</v>
      </c>
      <c r="O65" s="732" t="s">
        <v>1651</v>
      </c>
      <c r="P65" s="6"/>
      <c r="Q65" s="38" t="s">
        <v>1547</v>
      </c>
      <c r="R65" s="38"/>
      <c r="S65" s="42" t="s">
        <v>1592</v>
      </c>
    </row>
    <row r="66" spans="1:19" ht="16" customHeight="1" x14ac:dyDescent="0.2">
      <c r="A66" s="6"/>
      <c r="B66" s="41"/>
      <c r="C66" s="42" t="s">
        <v>486</v>
      </c>
      <c r="D66" s="42" t="s">
        <v>1760</v>
      </c>
      <c r="E66" s="42" t="s">
        <v>1766</v>
      </c>
      <c r="F66" s="42"/>
      <c r="G66" s="42"/>
      <c r="H66" s="5"/>
      <c r="I66" s="670"/>
      <c r="J66" s="670"/>
      <c r="K66" s="42"/>
      <c r="L66" s="42" t="s">
        <v>2179</v>
      </c>
      <c r="M66" s="5"/>
      <c r="N66" s="5" t="s">
        <v>1551</v>
      </c>
      <c r="O66" s="732" t="str">
        <f t="shared" ref="O66:O68" si="15">O65</f>
        <v>ACP5.05</v>
      </c>
      <c r="P66" s="6"/>
      <c r="Q66" s="38" t="s">
        <v>1547</v>
      </c>
      <c r="R66" s="38"/>
      <c r="S66" s="42" t="s">
        <v>1593</v>
      </c>
    </row>
    <row r="67" spans="1:19" ht="16" customHeight="1" x14ac:dyDescent="0.2">
      <c r="A67" s="6"/>
      <c r="B67" s="41"/>
      <c r="C67" s="42" t="s">
        <v>486</v>
      </c>
      <c r="D67" s="42" t="s">
        <v>1761</v>
      </c>
      <c r="E67" s="42" t="s">
        <v>1763</v>
      </c>
      <c r="F67" s="42"/>
      <c r="G67" s="42"/>
      <c r="H67" s="476"/>
      <c r="I67" s="670"/>
      <c r="J67" s="670"/>
      <c r="K67" s="42"/>
      <c r="L67" s="42" t="s">
        <v>2179</v>
      </c>
      <c r="M67" s="476"/>
      <c r="N67" s="476" t="s">
        <v>1551</v>
      </c>
      <c r="O67" s="732" t="str">
        <f t="shared" si="15"/>
        <v>ACP5.05</v>
      </c>
      <c r="P67" s="6"/>
      <c r="Q67" s="38" t="s">
        <v>1547</v>
      </c>
      <c r="R67" s="38"/>
      <c r="S67" s="42" t="s">
        <v>1767</v>
      </c>
    </row>
    <row r="68" spans="1:19" ht="16" customHeight="1" x14ac:dyDescent="0.2">
      <c r="A68" s="6"/>
      <c r="B68" s="41"/>
      <c r="C68" s="42" t="s">
        <v>486</v>
      </c>
      <c r="D68" s="42" t="s">
        <v>1762</v>
      </c>
      <c r="E68" s="42" t="s">
        <v>1765</v>
      </c>
      <c r="F68" s="42"/>
      <c r="G68" s="42"/>
      <c r="H68" s="476"/>
      <c r="I68" s="670"/>
      <c r="J68" s="670"/>
      <c r="K68" s="42"/>
      <c r="L68" s="42" t="s">
        <v>2179</v>
      </c>
      <c r="M68" s="476"/>
      <c r="N68" s="476" t="s">
        <v>1551</v>
      </c>
      <c r="O68" s="732" t="str">
        <f t="shared" si="15"/>
        <v>ACP5.05</v>
      </c>
      <c r="P68" s="6"/>
      <c r="Q68" s="38" t="s">
        <v>1547</v>
      </c>
      <c r="R68" s="38"/>
      <c r="S68" s="42" t="s">
        <v>1768</v>
      </c>
    </row>
    <row r="69" spans="1:19" s="44" customFormat="1" ht="15.5" customHeight="1" x14ac:dyDescent="0.2">
      <c r="A69" s="42"/>
      <c r="B69" s="41"/>
      <c r="C69" s="42" t="s">
        <v>486</v>
      </c>
      <c r="D69" s="42" t="s">
        <v>1068</v>
      </c>
      <c r="E69" s="42"/>
      <c r="F69" s="42"/>
      <c r="G69" s="42"/>
      <c r="H69" s="42"/>
      <c r="I69" s="669"/>
      <c r="J69" s="669"/>
      <c r="K69" s="42"/>
      <c r="L69" s="42" t="s">
        <v>2179</v>
      </c>
      <c r="M69" s="42"/>
      <c r="N69" s="663"/>
      <c r="O69" s="732" t="s">
        <v>1243</v>
      </c>
      <c r="P69" s="42"/>
      <c r="Q69" s="38" t="s">
        <v>1547</v>
      </c>
      <c r="R69" s="38"/>
      <c r="S69" s="42" t="s">
        <v>771</v>
      </c>
    </row>
    <row r="70" spans="1:19" s="44" customFormat="1" ht="15.5" customHeight="1" x14ac:dyDescent="0.2">
      <c r="A70" s="42"/>
      <c r="B70" s="41"/>
      <c r="C70" s="42" t="s">
        <v>486</v>
      </c>
      <c r="D70" s="42" t="s">
        <v>1069</v>
      </c>
      <c r="E70" s="42"/>
      <c r="F70" s="42"/>
      <c r="G70" s="42"/>
      <c r="H70" s="5"/>
      <c r="I70" s="670"/>
      <c r="J70" s="670"/>
      <c r="K70" s="42"/>
      <c r="L70" s="42" t="s">
        <v>2179</v>
      </c>
      <c r="M70" s="5"/>
      <c r="N70" s="663"/>
      <c r="O70" s="732" t="str">
        <f t="shared" ref="O70:O72" si="16">O69</f>
        <v>ACP5.06</v>
      </c>
      <c r="P70" s="42"/>
      <c r="Q70" s="38" t="s">
        <v>1547</v>
      </c>
      <c r="R70" s="38"/>
      <c r="S70" s="42" t="s">
        <v>1106</v>
      </c>
    </row>
    <row r="71" spans="1:19" s="44" customFormat="1" ht="15.5" customHeight="1" x14ac:dyDescent="0.2">
      <c r="A71" s="42"/>
      <c r="B71" s="41"/>
      <c r="C71" s="42" t="s">
        <v>486</v>
      </c>
      <c r="D71" s="42" t="s">
        <v>1070</v>
      </c>
      <c r="E71" s="42"/>
      <c r="F71" s="42"/>
      <c r="G71" s="42"/>
      <c r="H71" s="42"/>
      <c r="I71" s="669"/>
      <c r="J71" s="669"/>
      <c r="K71" s="42"/>
      <c r="L71" s="42" t="s">
        <v>2179</v>
      </c>
      <c r="M71" s="42"/>
      <c r="N71" s="663"/>
      <c r="O71" s="732" t="str">
        <f t="shared" si="16"/>
        <v>ACP5.06</v>
      </c>
      <c r="P71" s="42"/>
      <c r="Q71" s="38" t="s">
        <v>1547</v>
      </c>
      <c r="R71" s="38"/>
      <c r="S71" s="42" t="s">
        <v>1107</v>
      </c>
    </row>
    <row r="72" spans="1:19" s="44" customFormat="1" ht="15.5" customHeight="1" x14ac:dyDescent="0.2">
      <c r="A72" s="42"/>
      <c r="B72" s="41"/>
      <c r="C72" s="42" t="s">
        <v>486</v>
      </c>
      <c r="D72" s="42"/>
      <c r="E72" s="42"/>
      <c r="F72" s="42"/>
      <c r="G72" s="42"/>
      <c r="H72" s="42"/>
      <c r="I72" s="669"/>
      <c r="J72" s="669"/>
      <c r="K72" s="42"/>
      <c r="L72" s="42"/>
      <c r="M72" s="42"/>
      <c r="N72" s="663"/>
      <c r="O72" s="732" t="str">
        <f t="shared" si="16"/>
        <v>ACP5.06</v>
      </c>
      <c r="P72" s="42"/>
      <c r="Q72" s="38" t="s">
        <v>1547</v>
      </c>
      <c r="R72" s="38"/>
      <c r="S72" s="42"/>
    </row>
    <row r="73" spans="1:19" s="44" customFormat="1" ht="15.5" customHeight="1" x14ac:dyDescent="0.2">
      <c r="A73" s="42"/>
      <c r="B73" s="41"/>
      <c r="C73" s="42" t="s">
        <v>486</v>
      </c>
      <c r="D73" s="42" t="s">
        <v>1210</v>
      </c>
      <c r="E73" s="42"/>
      <c r="F73" s="42"/>
      <c r="G73" s="42"/>
      <c r="H73" s="42"/>
      <c r="I73" s="669"/>
      <c r="J73" s="669"/>
      <c r="K73" s="42"/>
      <c r="L73" s="42" t="s">
        <v>2179</v>
      </c>
      <c r="M73" s="42"/>
      <c r="N73" s="663"/>
      <c r="O73" s="732" t="s">
        <v>1242</v>
      </c>
      <c r="P73" s="42"/>
      <c r="Q73" s="38" t="s">
        <v>1547</v>
      </c>
      <c r="R73" s="38"/>
      <c r="S73" s="42" t="s">
        <v>771</v>
      </c>
    </row>
    <row r="74" spans="1:19" s="44" customFormat="1" ht="15.5" customHeight="1" x14ac:dyDescent="0.2">
      <c r="A74" s="42"/>
      <c r="B74" s="41"/>
      <c r="C74" s="42" t="s">
        <v>486</v>
      </c>
      <c r="D74" s="42" t="s">
        <v>1211</v>
      </c>
      <c r="E74" s="42"/>
      <c r="F74" s="42"/>
      <c r="G74" s="42"/>
      <c r="H74" s="5"/>
      <c r="I74" s="670"/>
      <c r="J74" s="670"/>
      <c r="K74" s="42"/>
      <c r="L74" s="42" t="s">
        <v>2179</v>
      </c>
      <c r="M74" s="5"/>
      <c r="N74" s="663"/>
      <c r="O74" s="732" t="str">
        <f t="shared" ref="O74:O76" si="17">O73</f>
        <v>ACP5.07</v>
      </c>
      <c r="P74" s="42"/>
      <c r="Q74" s="38" t="s">
        <v>1547</v>
      </c>
      <c r="R74" s="38"/>
      <c r="S74" s="42" t="s">
        <v>1106</v>
      </c>
    </row>
    <row r="75" spans="1:19" s="44" customFormat="1" ht="15.5" customHeight="1" x14ac:dyDescent="0.2">
      <c r="A75" s="42"/>
      <c r="B75" s="41"/>
      <c r="C75" s="42" t="s">
        <v>486</v>
      </c>
      <c r="D75" s="42"/>
      <c r="E75" s="42"/>
      <c r="F75" s="42"/>
      <c r="G75" s="42"/>
      <c r="H75" s="42"/>
      <c r="I75" s="669"/>
      <c r="J75" s="669"/>
      <c r="K75" s="42"/>
      <c r="L75" s="42"/>
      <c r="M75" s="42"/>
      <c r="N75" s="663"/>
      <c r="O75" s="732" t="str">
        <f t="shared" si="17"/>
        <v>ACP5.07</v>
      </c>
      <c r="P75" s="42"/>
      <c r="Q75" s="38" t="s">
        <v>1547</v>
      </c>
      <c r="R75" s="38"/>
      <c r="S75" s="42"/>
    </row>
    <row r="76" spans="1:19" s="44" customFormat="1" ht="15.5" customHeight="1" x14ac:dyDescent="0.2">
      <c r="A76" s="42"/>
      <c r="B76" s="41"/>
      <c r="C76" s="42" t="s">
        <v>486</v>
      </c>
      <c r="D76" s="42"/>
      <c r="E76" s="42"/>
      <c r="F76" s="42"/>
      <c r="G76" s="42"/>
      <c r="H76" s="42"/>
      <c r="I76" s="669"/>
      <c r="J76" s="669"/>
      <c r="K76" s="42"/>
      <c r="L76" s="42"/>
      <c r="M76" s="42"/>
      <c r="N76" s="663"/>
      <c r="O76" s="732" t="str">
        <f t="shared" si="17"/>
        <v>ACP5.07</v>
      </c>
      <c r="P76" s="42"/>
      <c r="Q76" s="38" t="s">
        <v>1547</v>
      </c>
      <c r="R76" s="38"/>
      <c r="S76" s="42"/>
    </row>
    <row r="77" spans="1:19" s="44" customFormat="1" ht="15.5" customHeight="1" x14ac:dyDescent="0.2">
      <c r="A77" s="42"/>
      <c r="B77" s="41"/>
      <c r="C77" s="42" t="s">
        <v>486</v>
      </c>
      <c r="D77" s="42" t="s">
        <v>1212</v>
      </c>
      <c r="E77" s="42"/>
      <c r="F77" s="42"/>
      <c r="G77" s="42"/>
      <c r="H77" s="42"/>
      <c r="I77" s="669"/>
      <c r="J77" s="669"/>
      <c r="K77" s="42"/>
      <c r="L77" s="42" t="s">
        <v>2179</v>
      </c>
      <c r="M77" s="42"/>
      <c r="N77" s="663"/>
      <c r="O77" s="732" t="s">
        <v>1241</v>
      </c>
      <c r="P77" s="45"/>
      <c r="Q77" s="38" t="s">
        <v>1547</v>
      </c>
      <c r="R77" s="38"/>
      <c r="S77" s="42" t="s">
        <v>771</v>
      </c>
    </row>
    <row r="78" spans="1:19" s="40" customFormat="1" ht="16" customHeight="1" x14ac:dyDescent="0.2">
      <c r="A78" s="45"/>
      <c r="B78" s="41"/>
      <c r="C78" s="42" t="s">
        <v>486</v>
      </c>
      <c r="D78" s="42" t="s">
        <v>1213</v>
      </c>
      <c r="E78" s="42"/>
      <c r="F78" s="42"/>
      <c r="G78" s="42"/>
      <c r="H78" s="5"/>
      <c r="I78" s="670"/>
      <c r="J78" s="670"/>
      <c r="K78" s="42"/>
      <c r="L78" s="42" t="s">
        <v>2179</v>
      </c>
      <c r="M78" s="5"/>
      <c r="N78" s="663"/>
      <c r="O78" s="17" t="str">
        <f t="shared" ref="O78:O79" si="18">O77</f>
        <v>ACP5.08</v>
      </c>
      <c r="P78" s="42"/>
      <c r="Q78" s="38" t="s">
        <v>1547</v>
      </c>
      <c r="R78" s="38"/>
      <c r="S78" s="42" t="s">
        <v>1106</v>
      </c>
    </row>
    <row r="79" spans="1:19" s="44" customFormat="1" ht="98" customHeight="1" x14ac:dyDescent="0.2">
      <c r="A79" s="42"/>
      <c r="B79" s="41"/>
      <c r="C79" s="42" t="s">
        <v>486</v>
      </c>
      <c r="D79" s="42" t="s">
        <v>1215</v>
      </c>
      <c r="E79" s="667" t="s">
        <v>2135</v>
      </c>
      <c r="F79" s="41" t="s">
        <v>2194</v>
      </c>
      <c r="G79" s="41" t="s">
        <v>2117</v>
      </c>
      <c r="H79" s="692" t="s">
        <v>2147</v>
      </c>
      <c r="I79" s="671"/>
      <c r="J79" s="671"/>
      <c r="K79" s="41"/>
      <c r="L79" s="41" t="s">
        <v>2179</v>
      </c>
      <c r="M79" s="41" t="s">
        <v>2179</v>
      </c>
      <c r="N79" s="664"/>
      <c r="O79" s="17" t="str">
        <f t="shared" si="18"/>
        <v>ACP5.08</v>
      </c>
      <c r="P79" s="42"/>
      <c r="Q79" s="38" t="s">
        <v>1547</v>
      </c>
      <c r="R79" s="38"/>
      <c r="S79" s="41" t="s">
        <v>1131</v>
      </c>
    </row>
    <row r="80" spans="1:19" s="44" customFormat="1" ht="17" x14ac:dyDescent="0.2">
      <c r="A80" s="659"/>
      <c r="B80" s="41"/>
      <c r="C80" s="42" t="s">
        <v>486</v>
      </c>
      <c r="D80" s="42" t="s">
        <v>1214</v>
      </c>
      <c r="E80" s="42"/>
      <c r="F80" s="42"/>
      <c r="G80" s="42"/>
      <c r="H80" s="42"/>
      <c r="I80" s="669"/>
      <c r="J80" s="669"/>
      <c r="K80" s="42"/>
      <c r="L80" s="42" t="s">
        <v>2179</v>
      </c>
      <c r="M80" s="42"/>
      <c r="N80" s="663"/>
      <c r="O80" s="17" t="s">
        <v>447</v>
      </c>
      <c r="P80" s="42"/>
      <c r="Q80" s="38" t="s">
        <v>1547</v>
      </c>
      <c r="R80" s="38"/>
      <c r="S80" s="42" t="s">
        <v>1903</v>
      </c>
    </row>
    <row r="81" spans="1:19" ht="16" customHeight="1" x14ac:dyDescent="0.2">
      <c r="A81" s="6"/>
      <c r="B81" s="41" t="s">
        <v>1757</v>
      </c>
      <c r="C81" s="42" t="s">
        <v>486</v>
      </c>
      <c r="D81" s="42" t="s">
        <v>1217</v>
      </c>
      <c r="E81" s="42" t="s">
        <v>1754</v>
      </c>
      <c r="F81" s="42"/>
      <c r="G81" s="42"/>
      <c r="H81" s="476"/>
      <c r="I81" s="670"/>
      <c r="J81" s="670"/>
      <c r="K81" s="42"/>
      <c r="L81" s="42" t="s">
        <v>2179</v>
      </c>
      <c r="M81" s="6"/>
      <c r="N81" s="476" t="s">
        <v>1756</v>
      </c>
      <c r="O81" s="732" t="s">
        <v>1299</v>
      </c>
      <c r="P81" s="6"/>
      <c r="Q81" s="38" t="s">
        <v>1547</v>
      </c>
      <c r="R81" s="38"/>
      <c r="S81" s="42" t="s">
        <v>1592</v>
      </c>
    </row>
    <row r="82" spans="1:19" ht="16" customHeight="1" x14ac:dyDescent="0.2">
      <c r="A82" s="6"/>
      <c r="B82" s="41" t="s">
        <v>1757</v>
      </c>
      <c r="C82" s="42" t="s">
        <v>486</v>
      </c>
      <c r="D82" s="42" t="s">
        <v>1218</v>
      </c>
      <c r="E82" s="42" t="s">
        <v>1752</v>
      </c>
      <c r="F82" s="42"/>
      <c r="G82" s="42"/>
      <c r="H82" s="5"/>
      <c r="I82" s="670"/>
      <c r="J82" s="670"/>
      <c r="K82" s="42"/>
      <c r="L82" s="42" t="s">
        <v>2179</v>
      </c>
      <c r="M82" s="6"/>
      <c r="N82" s="5" t="s">
        <v>1551</v>
      </c>
      <c r="O82" s="732" t="str">
        <f t="shared" ref="O82:O84" si="19">O81</f>
        <v>ACP5.09</v>
      </c>
      <c r="P82" s="6"/>
      <c r="Q82" s="38" t="s">
        <v>1547</v>
      </c>
      <c r="R82" s="38"/>
      <c r="S82" s="42" t="s">
        <v>1593</v>
      </c>
    </row>
    <row r="83" spans="1:19" ht="16" customHeight="1" x14ac:dyDescent="0.2">
      <c r="A83" s="6"/>
      <c r="B83" s="41" t="s">
        <v>1757</v>
      </c>
      <c r="C83" s="42" t="s">
        <v>486</v>
      </c>
      <c r="D83" s="42" t="s">
        <v>1216</v>
      </c>
      <c r="E83" s="42" t="s">
        <v>1753</v>
      </c>
      <c r="F83" s="42"/>
      <c r="G83" s="42"/>
      <c r="H83" s="476"/>
      <c r="I83" s="670"/>
      <c r="J83" s="670"/>
      <c r="K83" s="42"/>
      <c r="L83" s="42" t="s">
        <v>2179</v>
      </c>
      <c r="M83" s="6"/>
      <c r="N83" s="476" t="s">
        <v>1551</v>
      </c>
      <c r="O83" s="732" t="str">
        <f t="shared" si="19"/>
        <v>ACP5.09</v>
      </c>
      <c r="P83" s="6"/>
      <c r="Q83" s="38" t="s">
        <v>1547</v>
      </c>
      <c r="R83" s="38"/>
      <c r="S83" s="42" t="s">
        <v>1755</v>
      </c>
    </row>
    <row r="84" spans="1:19" ht="16" customHeight="1" x14ac:dyDescent="0.2">
      <c r="A84" s="6"/>
      <c r="B84" s="41"/>
      <c r="C84" s="42" t="s">
        <v>486</v>
      </c>
      <c r="D84" s="42"/>
      <c r="E84" s="42"/>
      <c r="F84" s="42"/>
      <c r="G84" s="42"/>
      <c r="H84" s="42"/>
      <c r="I84" s="669"/>
      <c r="J84" s="669"/>
      <c r="K84" s="42"/>
      <c r="L84" s="42"/>
      <c r="M84" s="42"/>
      <c r="N84" s="663"/>
      <c r="O84" s="732" t="str">
        <f t="shared" si="19"/>
        <v>ACP5.09</v>
      </c>
      <c r="P84" s="6"/>
      <c r="Q84" s="38" t="s">
        <v>1547</v>
      </c>
      <c r="R84" s="38"/>
      <c r="S84" s="42"/>
    </row>
    <row r="85" spans="1:19" s="44" customFormat="1" ht="15.5" customHeight="1" x14ac:dyDescent="0.2">
      <c r="A85" s="42"/>
      <c r="B85" s="41"/>
      <c r="C85" s="42" t="s">
        <v>486</v>
      </c>
      <c r="D85" s="42" t="s">
        <v>1237</v>
      </c>
      <c r="E85" s="42"/>
      <c r="F85" s="42"/>
      <c r="G85" s="42"/>
      <c r="H85" s="42"/>
      <c r="I85" s="669"/>
      <c r="J85" s="669"/>
      <c r="K85" s="42"/>
      <c r="L85" s="42" t="s">
        <v>2179</v>
      </c>
      <c r="M85" s="42"/>
      <c r="N85" s="663"/>
      <c r="O85" s="17" t="s">
        <v>1240</v>
      </c>
      <c r="P85" s="45"/>
      <c r="Q85" s="38" t="s">
        <v>1547</v>
      </c>
      <c r="R85" s="38"/>
      <c r="S85" s="42" t="s">
        <v>771</v>
      </c>
    </row>
    <row r="86" spans="1:19" s="40" customFormat="1" ht="15" customHeight="1" x14ac:dyDescent="0.2">
      <c r="A86" s="45"/>
      <c r="B86" s="41"/>
      <c r="C86" s="42" t="s">
        <v>486</v>
      </c>
      <c r="D86" s="42" t="s">
        <v>1238</v>
      </c>
      <c r="E86" s="42"/>
      <c r="F86" s="42"/>
      <c r="G86" s="42"/>
      <c r="H86" s="5"/>
      <c r="I86" s="670"/>
      <c r="J86" s="670"/>
      <c r="K86" s="42"/>
      <c r="L86" s="42" t="s">
        <v>2179</v>
      </c>
      <c r="M86" s="5"/>
      <c r="N86" s="663"/>
      <c r="O86" s="17" t="str">
        <f t="shared" ref="O86:O88" si="20">O85</f>
        <v>ACP5.10</v>
      </c>
      <c r="P86" s="42"/>
      <c r="Q86" s="38" t="s">
        <v>1547</v>
      </c>
      <c r="R86" s="38"/>
      <c r="S86" s="42" t="s">
        <v>1106</v>
      </c>
    </row>
    <row r="87" spans="1:19" s="44" customFormat="1" ht="15.5" customHeight="1" x14ac:dyDescent="0.2">
      <c r="A87" s="42"/>
      <c r="B87" s="50"/>
      <c r="C87" s="42" t="s">
        <v>486</v>
      </c>
      <c r="D87" s="42" t="s">
        <v>1239</v>
      </c>
      <c r="E87" s="42"/>
      <c r="F87" s="42"/>
      <c r="G87" s="42"/>
      <c r="H87" s="42"/>
      <c r="I87" s="669"/>
      <c r="J87" s="669"/>
      <c r="K87" s="42"/>
      <c r="L87" s="42" t="s">
        <v>2179</v>
      </c>
      <c r="M87" s="42"/>
      <c r="N87" s="663"/>
      <c r="O87" s="17" t="str">
        <f t="shared" si="20"/>
        <v>ACP5.10</v>
      </c>
      <c r="P87" s="42"/>
      <c r="Q87" s="38" t="s">
        <v>1547</v>
      </c>
      <c r="R87" s="38"/>
      <c r="S87" s="42" t="s">
        <v>1107</v>
      </c>
    </row>
    <row r="88" spans="1:19" s="44" customFormat="1" ht="15.5" customHeight="1" x14ac:dyDescent="0.2">
      <c r="A88" s="42"/>
      <c r="B88" s="41"/>
      <c r="C88" s="42" t="s">
        <v>486</v>
      </c>
      <c r="D88" s="42" t="s">
        <v>1247</v>
      </c>
      <c r="E88" s="42"/>
      <c r="F88" s="42"/>
      <c r="G88" s="42"/>
      <c r="H88" s="42"/>
      <c r="I88" s="669"/>
      <c r="J88" s="669"/>
      <c r="K88" s="42"/>
      <c r="L88" s="42" t="s">
        <v>2179</v>
      </c>
      <c r="M88" s="42"/>
      <c r="N88" s="663"/>
      <c r="O88" s="17" t="str">
        <f t="shared" si="20"/>
        <v>ACP5.10</v>
      </c>
      <c r="P88" s="42"/>
      <c r="Q88" s="38" t="s">
        <v>1547</v>
      </c>
      <c r="R88" s="38"/>
      <c r="S88" s="42"/>
    </row>
    <row r="89" spans="1:19" s="44" customFormat="1" ht="15.5" customHeight="1" x14ac:dyDescent="0.2">
      <c r="A89" s="42"/>
      <c r="B89" s="41"/>
      <c r="C89" s="42" t="s">
        <v>486</v>
      </c>
      <c r="D89" s="42" t="s">
        <v>770</v>
      </c>
      <c r="E89" s="42"/>
      <c r="F89" s="42"/>
      <c r="G89" s="42"/>
      <c r="H89" s="42"/>
      <c r="I89" s="669"/>
      <c r="J89" s="669"/>
      <c r="K89" s="42"/>
      <c r="L89" s="42"/>
      <c r="M89" s="42" t="s">
        <v>2179</v>
      </c>
      <c r="N89" s="663"/>
      <c r="O89" s="17" t="s">
        <v>740</v>
      </c>
      <c r="P89" s="42"/>
      <c r="Q89" s="38" t="s">
        <v>1547</v>
      </c>
      <c r="R89" s="38"/>
      <c r="S89" s="42" t="s">
        <v>771</v>
      </c>
    </row>
    <row r="90" spans="1:19" s="44" customFormat="1" ht="15.5" customHeight="1" x14ac:dyDescent="0.2">
      <c r="A90" s="42"/>
      <c r="B90" s="41"/>
      <c r="C90" s="42" t="s">
        <v>486</v>
      </c>
      <c r="D90" s="42" t="s">
        <v>772</v>
      </c>
      <c r="E90" s="42" t="s">
        <v>1690</v>
      </c>
      <c r="F90" s="42"/>
      <c r="G90" s="42"/>
      <c r="H90" s="42"/>
      <c r="I90" s="669"/>
      <c r="J90" s="669"/>
      <c r="K90" s="42"/>
      <c r="L90" s="42"/>
      <c r="M90" s="346" t="s">
        <v>49</v>
      </c>
      <c r="N90" s="663"/>
      <c r="O90" s="17" t="str">
        <f t="shared" ref="O90:O92" si="21">O89</f>
        <v>ACP5.11</v>
      </c>
      <c r="P90" s="42"/>
      <c r="Q90" s="38" t="s">
        <v>1547</v>
      </c>
      <c r="R90" s="38"/>
      <c r="S90" s="38" t="s">
        <v>774</v>
      </c>
    </row>
    <row r="91" spans="1:19" s="44" customFormat="1" ht="15.5" customHeight="1" x14ac:dyDescent="0.2">
      <c r="A91" s="42"/>
      <c r="B91" s="41"/>
      <c r="C91" s="42" t="s">
        <v>486</v>
      </c>
      <c r="D91" s="42" t="s">
        <v>773</v>
      </c>
      <c r="E91" s="42"/>
      <c r="F91" s="42"/>
      <c r="G91" s="42"/>
      <c r="H91" s="42"/>
      <c r="I91" s="669"/>
      <c r="J91" s="669"/>
      <c r="K91" s="42"/>
      <c r="L91" s="42" t="s">
        <v>2179</v>
      </c>
      <c r="M91" s="42"/>
      <c r="N91" s="663"/>
      <c r="O91" s="17" t="str">
        <f t="shared" si="21"/>
        <v>ACP5.11</v>
      </c>
      <c r="P91" s="42"/>
      <c r="Q91" s="38" t="s">
        <v>1547</v>
      </c>
      <c r="R91" s="38"/>
      <c r="S91" s="42" t="s">
        <v>775</v>
      </c>
    </row>
    <row r="92" spans="1:19" s="44" customFormat="1" ht="15.5" customHeight="1" x14ac:dyDescent="0.2">
      <c r="A92" s="42"/>
      <c r="B92" s="41"/>
      <c r="C92" s="42" t="s">
        <v>486</v>
      </c>
      <c r="D92" s="42" t="s">
        <v>591</v>
      </c>
      <c r="E92" s="42"/>
      <c r="F92" s="42"/>
      <c r="G92" s="42"/>
      <c r="H92" s="42"/>
      <c r="I92" s="669"/>
      <c r="J92" s="669"/>
      <c r="K92" s="42"/>
      <c r="L92" s="42"/>
      <c r="M92" s="42"/>
      <c r="N92" s="663"/>
      <c r="O92" s="17" t="str">
        <f t="shared" si="21"/>
        <v>ACP5.11</v>
      </c>
      <c r="P92" s="42"/>
      <c r="Q92" s="38" t="s">
        <v>1547</v>
      </c>
      <c r="R92" s="38"/>
      <c r="S92" s="42"/>
    </row>
    <row r="93" spans="1:19" ht="67.25" customHeight="1" x14ac:dyDescent="0.2">
      <c r="A93" s="6"/>
      <c r="B93" s="41"/>
      <c r="C93" s="42" t="s">
        <v>486</v>
      </c>
      <c r="D93" s="42" t="s">
        <v>729</v>
      </c>
      <c r="E93" s="668" t="s">
        <v>2444</v>
      </c>
      <c r="F93" s="41" t="s">
        <v>2422</v>
      </c>
      <c r="G93" s="42"/>
      <c r="H93" s="42"/>
      <c r="I93" s="702" t="s">
        <v>2392</v>
      </c>
      <c r="J93" s="702"/>
      <c r="K93" s="42" t="s">
        <v>2528</v>
      </c>
      <c r="L93" s="346" t="s">
        <v>49</v>
      </c>
      <c r="M93" s="42"/>
      <c r="N93" s="663"/>
      <c r="O93" s="17" t="s">
        <v>742</v>
      </c>
      <c r="P93" s="6"/>
      <c r="Q93" s="38" t="s">
        <v>1547</v>
      </c>
      <c r="R93" s="38"/>
      <c r="S93" s="42" t="s">
        <v>2397</v>
      </c>
    </row>
    <row r="94" spans="1:19" ht="80.5" customHeight="1" x14ac:dyDescent="0.2">
      <c r="A94" s="6"/>
      <c r="B94" s="41"/>
      <c r="C94" s="42" t="s">
        <v>486</v>
      </c>
      <c r="D94" s="42" t="s">
        <v>729</v>
      </c>
      <c r="E94" s="668" t="s">
        <v>2445</v>
      </c>
      <c r="F94" s="41" t="s">
        <v>2423</v>
      </c>
      <c r="G94" s="42"/>
      <c r="H94" s="42"/>
      <c r="I94" s="702" t="s">
        <v>2392</v>
      </c>
      <c r="J94" s="702"/>
      <c r="K94" s="42"/>
      <c r="L94" s="42"/>
      <c r="M94" s="42" t="s">
        <v>2179</v>
      </c>
      <c r="N94" s="663"/>
      <c r="O94" s="17" t="s">
        <v>742</v>
      </c>
      <c r="P94" s="6"/>
      <c r="Q94" s="38" t="s">
        <v>1547</v>
      </c>
      <c r="R94" s="38"/>
      <c r="S94" s="42" t="s">
        <v>2398</v>
      </c>
    </row>
    <row r="95" spans="1:19" ht="58.75" customHeight="1" x14ac:dyDescent="0.2">
      <c r="A95" s="6"/>
      <c r="B95" s="41" t="s">
        <v>1490</v>
      </c>
      <c r="C95" s="42" t="s">
        <v>486</v>
      </c>
      <c r="D95" s="42" t="s">
        <v>730</v>
      </c>
      <c r="E95" s="668" t="s">
        <v>2446</v>
      </c>
      <c r="F95" s="42"/>
      <c r="G95" s="42"/>
      <c r="H95" s="42"/>
      <c r="I95" s="702" t="s">
        <v>2392</v>
      </c>
      <c r="J95" s="702"/>
      <c r="K95" s="42"/>
      <c r="L95" s="346" t="s">
        <v>49</v>
      </c>
      <c r="M95" s="42" t="s">
        <v>2179</v>
      </c>
      <c r="N95" s="663"/>
      <c r="O95" s="17" t="str">
        <f>O93</f>
        <v>ACP5.13</v>
      </c>
      <c r="P95" s="6"/>
      <c r="Q95" s="38" t="s">
        <v>1547</v>
      </c>
      <c r="R95" s="38"/>
      <c r="S95" s="38" t="s">
        <v>1491</v>
      </c>
    </row>
    <row r="96" spans="1:19" ht="63.5" customHeight="1" x14ac:dyDescent="0.2">
      <c r="A96" s="658" t="s">
        <v>2074</v>
      </c>
      <c r="B96" s="708" t="s">
        <v>2073</v>
      </c>
      <c r="C96" s="42" t="s">
        <v>486</v>
      </c>
      <c r="D96" s="42" t="s">
        <v>731</v>
      </c>
      <c r="E96" s="42" t="s">
        <v>1484</v>
      </c>
      <c r="F96" s="535"/>
      <c r="G96" s="42"/>
      <c r="H96" s="42"/>
      <c r="I96" s="669"/>
      <c r="J96" s="669"/>
      <c r="K96" s="42" t="s">
        <v>1616</v>
      </c>
      <c r="L96" s="42" t="s">
        <v>2179</v>
      </c>
      <c r="M96" s="42" t="s">
        <v>2179</v>
      </c>
      <c r="N96" s="665" t="s">
        <v>1919</v>
      </c>
      <c r="O96" s="17" t="str">
        <f t="shared" ref="O96:O97" si="22">O95</f>
        <v>ACP5.13</v>
      </c>
      <c r="P96" s="6"/>
      <c r="Q96" s="38" t="s">
        <v>1547</v>
      </c>
      <c r="R96" s="38"/>
      <c r="S96" s="42" t="s">
        <v>1492</v>
      </c>
    </row>
    <row r="97" spans="1:19" ht="16" customHeight="1" x14ac:dyDescent="0.2">
      <c r="A97" s="6"/>
      <c r="B97" s="41"/>
      <c r="C97" s="42" t="s">
        <v>486</v>
      </c>
      <c r="D97" s="42" t="s">
        <v>627</v>
      </c>
      <c r="E97" s="42"/>
      <c r="F97" s="42"/>
      <c r="G97" s="42"/>
      <c r="H97" s="42"/>
      <c r="I97" s="669"/>
      <c r="J97" s="669"/>
      <c r="K97" s="42"/>
      <c r="L97" s="42"/>
      <c r="M97" s="42"/>
      <c r="N97" s="663"/>
      <c r="O97" s="17" t="str">
        <f t="shared" si="22"/>
        <v>ACP5.13</v>
      </c>
      <c r="P97" s="6"/>
      <c r="Q97" s="38" t="s">
        <v>1547</v>
      </c>
      <c r="R97" s="38"/>
      <c r="S97" s="42"/>
    </row>
    <row r="98" spans="1:19" ht="85.25" customHeight="1" x14ac:dyDescent="0.2">
      <c r="A98" s="6"/>
      <c r="B98" s="41"/>
      <c r="C98" s="42" t="s">
        <v>486</v>
      </c>
      <c r="D98" s="42" t="s">
        <v>736</v>
      </c>
      <c r="E98" s="668" t="s">
        <v>2447</v>
      </c>
      <c r="F98" s="41" t="s">
        <v>2424</v>
      </c>
      <c r="G98" s="42"/>
      <c r="H98" s="42"/>
      <c r="I98" s="702" t="s">
        <v>2392</v>
      </c>
      <c r="J98" s="702"/>
      <c r="K98" s="42"/>
      <c r="L98" s="346" t="s">
        <v>49</v>
      </c>
      <c r="M98" s="42"/>
      <c r="N98" s="663"/>
      <c r="O98" s="17" t="s">
        <v>741</v>
      </c>
      <c r="P98" s="6"/>
      <c r="Q98" s="38" t="s">
        <v>1547</v>
      </c>
      <c r="R98" s="38"/>
      <c r="S98" s="42" t="s">
        <v>2393</v>
      </c>
    </row>
    <row r="99" spans="1:19" ht="77.5" customHeight="1" x14ac:dyDescent="0.2">
      <c r="A99" s="6"/>
      <c r="B99" s="41"/>
      <c r="C99" s="42" t="s">
        <v>486</v>
      </c>
      <c r="D99" s="42" t="s">
        <v>736</v>
      </c>
      <c r="E99" s="668" t="s">
        <v>2448</v>
      </c>
      <c r="F99" s="41" t="s">
        <v>2425</v>
      </c>
      <c r="G99" s="42"/>
      <c r="H99" s="42"/>
      <c r="I99" s="702" t="s">
        <v>2392</v>
      </c>
      <c r="J99" s="702"/>
      <c r="K99" s="42" t="s">
        <v>2527</v>
      </c>
      <c r="L99" s="42"/>
      <c r="M99" s="42" t="s">
        <v>2179</v>
      </c>
      <c r="N99" s="663"/>
      <c r="O99" s="17" t="s">
        <v>741</v>
      </c>
      <c r="P99" s="6"/>
      <c r="Q99" s="38" t="s">
        <v>1547</v>
      </c>
      <c r="R99" s="38"/>
      <c r="S99" s="42" t="s">
        <v>2394</v>
      </c>
    </row>
    <row r="100" spans="1:19" ht="81" customHeight="1" x14ac:dyDescent="0.2">
      <c r="A100" s="6"/>
      <c r="B100" s="41" t="s">
        <v>1490</v>
      </c>
      <c r="C100" s="42" t="s">
        <v>486</v>
      </c>
      <c r="D100" s="42" t="s">
        <v>737</v>
      </c>
      <c r="E100" s="668" t="s">
        <v>2449</v>
      </c>
      <c r="F100" s="41" t="s">
        <v>2426</v>
      </c>
      <c r="G100" s="42"/>
      <c r="H100" s="42"/>
      <c r="I100" s="702" t="s">
        <v>2392</v>
      </c>
      <c r="J100" s="702"/>
      <c r="K100" s="42"/>
      <c r="L100" s="346" t="s">
        <v>49</v>
      </c>
      <c r="M100" s="42" t="s">
        <v>2179</v>
      </c>
      <c r="N100" s="663"/>
      <c r="O100" s="17" t="str">
        <f>O98</f>
        <v>ACP5.12</v>
      </c>
      <c r="P100" s="6"/>
      <c r="Q100" s="38" t="s">
        <v>1547</v>
      </c>
      <c r="R100" s="38"/>
      <c r="S100" s="38" t="s">
        <v>1495</v>
      </c>
    </row>
    <row r="101" spans="1:19" ht="85" x14ac:dyDescent="0.2">
      <c r="A101" s="50"/>
      <c r="B101" s="41" t="s">
        <v>1490</v>
      </c>
      <c r="C101" s="42" t="s">
        <v>486</v>
      </c>
      <c r="D101" s="42" t="s">
        <v>738</v>
      </c>
      <c r="E101" s="41" t="s">
        <v>2191</v>
      </c>
      <c r="F101" s="41" t="s">
        <v>2222</v>
      </c>
      <c r="G101" s="646" t="s">
        <v>2131</v>
      </c>
      <c r="H101" s="692" t="s">
        <v>2149</v>
      </c>
      <c r="I101" s="671"/>
      <c r="J101" s="671"/>
      <c r="K101" s="42"/>
      <c r="L101" s="42" t="s">
        <v>2179</v>
      </c>
      <c r="M101" s="42" t="s">
        <v>2179</v>
      </c>
      <c r="N101" s="663"/>
      <c r="O101" s="17" t="str">
        <f t="shared" ref="O101:O102" si="23">O100</f>
        <v>ACP5.12</v>
      </c>
      <c r="P101" s="6"/>
      <c r="Q101" s="38" t="s">
        <v>1547</v>
      </c>
      <c r="R101" s="38"/>
      <c r="S101" s="42" t="s">
        <v>2130</v>
      </c>
    </row>
    <row r="102" spans="1:19" ht="16" customHeight="1" x14ac:dyDescent="0.2">
      <c r="A102" s="6"/>
      <c r="B102" s="41"/>
      <c r="C102" s="42" t="s">
        <v>486</v>
      </c>
      <c r="D102" s="175"/>
      <c r="E102" s="42"/>
      <c r="F102" s="42"/>
      <c r="G102" s="175"/>
      <c r="H102" s="42"/>
      <c r="I102" s="669"/>
      <c r="J102" s="669"/>
      <c r="K102" s="42"/>
      <c r="L102" s="42"/>
      <c r="M102" s="42"/>
      <c r="N102" s="663"/>
      <c r="O102" s="17" t="str">
        <f t="shared" si="23"/>
        <v>ACP5.12</v>
      </c>
      <c r="P102" s="6"/>
      <c r="Q102" s="38" t="s">
        <v>1547</v>
      </c>
      <c r="R102" s="38"/>
      <c r="S102" s="42"/>
    </row>
    <row r="103" spans="1:19" ht="60" customHeight="1" x14ac:dyDescent="0.2">
      <c r="A103" s="6"/>
      <c r="B103" s="41" t="s">
        <v>1880</v>
      </c>
      <c r="C103" s="42" t="s">
        <v>486</v>
      </c>
      <c r="D103" s="42" t="s">
        <v>1407</v>
      </c>
      <c r="E103" s="668" t="s">
        <v>2450</v>
      </c>
      <c r="F103" s="41" t="s">
        <v>2427</v>
      </c>
      <c r="G103" s="42"/>
      <c r="H103" s="42"/>
      <c r="I103" s="702" t="s">
        <v>2392</v>
      </c>
      <c r="J103" s="702"/>
      <c r="K103" s="42" t="s">
        <v>2529</v>
      </c>
      <c r="L103" s="346" t="s">
        <v>49</v>
      </c>
      <c r="M103" s="42"/>
      <c r="N103" s="663"/>
      <c r="O103" s="17" t="s">
        <v>1529</v>
      </c>
      <c r="P103" s="6"/>
      <c r="Q103" s="38" t="s">
        <v>1547</v>
      </c>
      <c r="R103" s="38"/>
      <c r="S103" s="42" t="s">
        <v>2396</v>
      </c>
    </row>
    <row r="104" spans="1:19" ht="63.5" customHeight="1" x14ac:dyDescent="0.2">
      <c r="A104" s="6"/>
      <c r="B104" s="41" t="s">
        <v>1880</v>
      </c>
      <c r="C104" s="42" t="s">
        <v>486</v>
      </c>
      <c r="D104" s="42" t="s">
        <v>1407</v>
      </c>
      <c r="E104" s="668" t="s">
        <v>2451</v>
      </c>
      <c r="F104" s="41" t="s">
        <v>2428</v>
      </c>
      <c r="G104" s="42"/>
      <c r="H104" s="42"/>
      <c r="I104" s="702" t="s">
        <v>2392</v>
      </c>
      <c r="J104" s="702"/>
      <c r="K104" s="42"/>
      <c r="L104" s="42"/>
      <c r="M104" s="42" t="s">
        <v>2179</v>
      </c>
      <c r="N104" s="663"/>
      <c r="O104" s="17" t="s">
        <v>1529</v>
      </c>
      <c r="P104" s="6"/>
      <c r="Q104" s="38" t="s">
        <v>1547</v>
      </c>
      <c r="R104" s="38"/>
      <c r="S104" s="42" t="s">
        <v>2395</v>
      </c>
    </row>
    <row r="105" spans="1:19" ht="43.75" customHeight="1" x14ac:dyDescent="0.2">
      <c r="A105" s="6"/>
      <c r="B105" s="41" t="s">
        <v>1879</v>
      </c>
      <c r="C105" s="42" t="s">
        <v>486</v>
      </c>
      <c r="D105" s="42" t="s">
        <v>1408</v>
      </c>
      <c r="E105" s="668" t="s">
        <v>2452</v>
      </c>
      <c r="F105" s="42"/>
      <c r="G105" s="42"/>
      <c r="H105" s="42"/>
      <c r="I105" s="702" t="s">
        <v>2392</v>
      </c>
      <c r="J105" s="702"/>
      <c r="K105" s="42"/>
      <c r="L105" s="346" t="s">
        <v>49</v>
      </c>
      <c r="M105" s="129" t="s">
        <v>2180</v>
      </c>
      <c r="N105" s="663"/>
      <c r="O105" s="17" t="s">
        <v>1529</v>
      </c>
      <c r="P105" s="6"/>
      <c r="Q105" s="38" t="s">
        <v>1547</v>
      </c>
      <c r="R105" s="38"/>
      <c r="S105" s="42" t="s">
        <v>2094</v>
      </c>
    </row>
    <row r="106" spans="1:19" ht="95" customHeight="1" x14ac:dyDescent="0.2">
      <c r="A106" s="659"/>
      <c r="B106" s="41" t="s">
        <v>2095</v>
      </c>
      <c r="C106" s="42" t="s">
        <v>486</v>
      </c>
      <c r="D106" s="42" t="s">
        <v>1863</v>
      </c>
      <c r="E106" s="41" t="s">
        <v>2192</v>
      </c>
      <c r="F106" s="41" t="s">
        <v>2195</v>
      </c>
      <c r="G106" s="646" t="s">
        <v>2119</v>
      </c>
      <c r="H106" s="692" t="s">
        <v>2155</v>
      </c>
      <c r="I106" s="671"/>
      <c r="J106" s="671"/>
      <c r="K106" s="42"/>
      <c r="L106" s="42" t="s">
        <v>2179</v>
      </c>
      <c r="M106" s="41" t="s">
        <v>2183</v>
      </c>
      <c r="N106" s="663"/>
      <c r="O106" s="17" t="str">
        <f t="shared" ref="O106" si="24">O105</f>
        <v>ACP5.14</v>
      </c>
      <c r="P106" s="6"/>
      <c r="Q106" s="38" t="s">
        <v>1547</v>
      </c>
      <c r="R106" s="38"/>
      <c r="S106" s="42" t="s">
        <v>2118</v>
      </c>
    </row>
    <row r="107" spans="1:19" ht="15.5" customHeight="1" x14ac:dyDescent="0.2">
      <c r="A107" s="6"/>
      <c r="B107" s="41" t="s">
        <v>1429</v>
      </c>
      <c r="C107" s="42" t="s">
        <v>486</v>
      </c>
      <c r="D107" s="42" t="s">
        <v>1419</v>
      </c>
      <c r="E107" s="42" t="s">
        <v>1421</v>
      </c>
      <c r="F107" s="42"/>
      <c r="G107" s="42"/>
      <c r="H107" s="5"/>
      <c r="I107" s="670"/>
      <c r="J107" s="670"/>
      <c r="K107" s="42"/>
      <c r="L107" s="42" t="s">
        <v>2179</v>
      </c>
      <c r="M107" s="129" t="s">
        <v>2180</v>
      </c>
      <c r="N107" s="663"/>
      <c r="O107" s="17" t="s">
        <v>2160</v>
      </c>
      <c r="P107" s="6"/>
      <c r="Q107" s="38" t="s">
        <v>1547</v>
      </c>
      <c r="R107" s="38"/>
      <c r="S107" s="42" t="s">
        <v>190</v>
      </c>
    </row>
    <row r="108" spans="1:19" ht="43.75" customHeight="1" x14ac:dyDescent="0.2">
      <c r="A108" s="6"/>
      <c r="B108" s="41" t="s">
        <v>1431</v>
      </c>
      <c r="C108" s="42" t="s">
        <v>486</v>
      </c>
      <c r="D108" s="42" t="s">
        <v>1425</v>
      </c>
      <c r="E108" s="41" t="s">
        <v>2466</v>
      </c>
      <c r="F108" s="42" t="s">
        <v>2401</v>
      </c>
      <c r="G108" s="42"/>
      <c r="H108" s="42"/>
      <c r="I108" s="703" t="s">
        <v>2419</v>
      </c>
      <c r="J108" s="703"/>
      <c r="K108" s="42" t="s">
        <v>1478</v>
      </c>
      <c r="L108" s="42" t="s">
        <v>2179</v>
      </c>
      <c r="M108" s="42" t="s">
        <v>1551</v>
      </c>
      <c r="N108" s="663"/>
      <c r="O108" s="17" t="str">
        <f t="shared" ref="O108:O110" si="25">O107</f>
        <v>ACP5.15</v>
      </c>
      <c r="P108" s="6"/>
      <c r="Q108" s="38" t="s">
        <v>1547</v>
      </c>
      <c r="R108" s="38"/>
      <c r="S108" s="38" t="s">
        <v>1420</v>
      </c>
    </row>
    <row r="109" spans="1:19" ht="16" customHeight="1" x14ac:dyDescent="0.2">
      <c r="A109" s="6"/>
      <c r="B109" s="41" t="s">
        <v>1430</v>
      </c>
      <c r="C109" s="42" t="s">
        <v>486</v>
      </c>
      <c r="D109" s="42" t="s">
        <v>1418</v>
      </c>
      <c r="E109" s="42" t="s">
        <v>1421</v>
      </c>
      <c r="F109" s="42"/>
      <c r="G109" s="42"/>
      <c r="H109" s="5"/>
      <c r="I109" s="670"/>
      <c r="J109" s="670"/>
      <c r="K109" s="42"/>
      <c r="L109" s="42" t="s">
        <v>2179</v>
      </c>
      <c r="M109" s="129" t="s">
        <v>2180</v>
      </c>
      <c r="N109" s="663"/>
      <c r="O109" s="17" t="str">
        <f t="shared" si="25"/>
        <v>ACP5.15</v>
      </c>
      <c r="P109" s="6"/>
      <c r="Q109" s="38" t="s">
        <v>1547</v>
      </c>
      <c r="R109" s="38"/>
      <c r="S109" s="42" t="s">
        <v>223</v>
      </c>
    </row>
    <row r="110" spans="1:19" ht="16" customHeight="1" x14ac:dyDescent="0.2">
      <c r="A110" s="6"/>
      <c r="B110" s="41"/>
      <c r="C110" s="42" t="s">
        <v>486</v>
      </c>
      <c r="D110" s="175"/>
      <c r="E110" s="42"/>
      <c r="F110" s="42"/>
      <c r="G110" s="175"/>
      <c r="H110" s="42"/>
      <c r="I110" s="669"/>
      <c r="J110" s="669"/>
      <c r="K110" s="42"/>
      <c r="L110" s="42"/>
      <c r="M110" s="42"/>
      <c r="N110" s="663"/>
      <c r="O110" s="17" t="str">
        <f t="shared" si="25"/>
        <v>ACP5.15</v>
      </c>
      <c r="P110" s="6"/>
      <c r="Q110" s="38" t="s">
        <v>1547</v>
      </c>
      <c r="R110" s="38"/>
      <c r="S110" s="42"/>
    </row>
    <row r="111" spans="1:19" ht="39.5" customHeight="1" x14ac:dyDescent="0.2">
      <c r="A111" s="6"/>
      <c r="B111" s="41" t="s">
        <v>1629</v>
      </c>
      <c r="C111" s="42" t="s">
        <v>486</v>
      </c>
      <c r="D111" s="42" t="s">
        <v>1548</v>
      </c>
      <c r="E111" s="41" t="s">
        <v>2467</v>
      </c>
      <c r="F111" s="42" t="s">
        <v>2400</v>
      </c>
      <c r="G111" s="42"/>
      <c r="H111" s="42"/>
      <c r="I111" s="703" t="s">
        <v>2419</v>
      </c>
      <c r="J111" s="703"/>
      <c r="K111" s="42" t="s">
        <v>1626</v>
      </c>
      <c r="L111" s="42" t="s">
        <v>2179</v>
      </c>
      <c r="M111" s="42"/>
      <c r="N111" s="663"/>
      <c r="O111" s="17" t="s">
        <v>2161</v>
      </c>
      <c r="P111" s="6"/>
      <c r="Q111" s="38" t="s">
        <v>1547</v>
      </c>
      <c r="R111" s="38"/>
      <c r="S111" s="42" t="s">
        <v>206</v>
      </c>
    </row>
    <row r="112" spans="1:19" ht="16" customHeight="1" x14ac:dyDescent="0.2">
      <c r="A112" s="6"/>
      <c r="B112" s="41" t="s">
        <v>1630</v>
      </c>
      <c r="C112" s="42" t="s">
        <v>486</v>
      </c>
      <c r="D112" s="42" t="s">
        <v>1549</v>
      </c>
      <c r="E112" s="42"/>
      <c r="F112" s="42"/>
      <c r="G112" s="42"/>
      <c r="H112" s="5"/>
      <c r="I112" s="670"/>
      <c r="J112" s="670"/>
      <c r="K112" s="42" t="s">
        <v>1627</v>
      </c>
      <c r="L112" s="42" t="s">
        <v>2179</v>
      </c>
      <c r="M112" s="5"/>
      <c r="N112" s="663"/>
      <c r="O112" s="17" t="str">
        <f t="shared" ref="O112:O114" si="26">O111</f>
        <v>ACP5.16</v>
      </c>
      <c r="P112" s="6"/>
      <c r="Q112" s="38" t="s">
        <v>1547</v>
      </c>
      <c r="R112" s="38"/>
      <c r="S112" s="42" t="s">
        <v>208</v>
      </c>
    </row>
    <row r="113" spans="1:19" ht="16" customHeight="1" x14ac:dyDescent="0.2">
      <c r="A113" s="6"/>
      <c r="B113" s="41" t="s">
        <v>1625</v>
      </c>
      <c r="C113" s="42" t="s">
        <v>486</v>
      </c>
      <c r="D113" s="42" t="s">
        <v>1550</v>
      </c>
      <c r="E113" s="42"/>
      <c r="F113" s="42"/>
      <c r="G113" s="42"/>
      <c r="H113" s="42"/>
      <c r="I113" s="669"/>
      <c r="J113" s="669"/>
      <c r="K113" s="42" t="s">
        <v>1628</v>
      </c>
      <c r="L113" s="42" t="s">
        <v>2179</v>
      </c>
      <c r="M113" s="42"/>
      <c r="N113" s="663"/>
      <c r="O113" s="17" t="str">
        <f t="shared" si="26"/>
        <v>ACP5.16</v>
      </c>
      <c r="P113" s="6"/>
      <c r="Q113" s="38" t="s">
        <v>1547</v>
      </c>
      <c r="R113" s="38"/>
      <c r="S113" s="42" t="s">
        <v>1594</v>
      </c>
    </row>
    <row r="114" spans="1:19" ht="28.75" customHeight="1" x14ac:dyDescent="0.2">
      <c r="A114" s="6"/>
      <c r="B114" s="41"/>
      <c r="C114" s="42" t="s">
        <v>486</v>
      </c>
      <c r="D114" s="42" t="s">
        <v>2032</v>
      </c>
      <c r="E114" s="41" t="s">
        <v>2526</v>
      </c>
      <c r="F114" s="42"/>
      <c r="G114" s="42"/>
      <c r="H114" s="42"/>
      <c r="I114" s="669"/>
      <c r="J114" s="669"/>
      <c r="K114" s="42" t="s">
        <v>1812</v>
      </c>
      <c r="L114" s="175" t="s">
        <v>2184</v>
      </c>
      <c r="M114" s="42"/>
      <c r="N114" s="663"/>
      <c r="O114" s="17" t="str">
        <f t="shared" si="26"/>
        <v>ACP5.16</v>
      </c>
      <c r="P114" s="6"/>
      <c r="Q114" s="38" t="s">
        <v>1547</v>
      </c>
      <c r="R114" s="38"/>
      <c r="S114" s="42" t="s">
        <v>2034</v>
      </c>
    </row>
    <row r="115" spans="1:19" ht="16" customHeight="1" x14ac:dyDescent="0.2">
      <c r="A115" s="6"/>
      <c r="B115" s="41"/>
      <c r="C115" s="42" t="s">
        <v>486</v>
      </c>
      <c r="D115" s="42"/>
      <c r="E115" s="42"/>
      <c r="F115" s="42"/>
      <c r="G115" s="42"/>
      <c r="H115" s="42"/>
      <c r="I115" s="669"/>
      <c r="J115" s="669"/>
      <c r="K115" s="42"/>
      <c r="L115" s="42"/>
      <c r="M115" s="42"/>
      <c r="N115" s="663"/>
      <c r="O115" s="17" t="s">
        <v>2162</v>
      </c>
      <c r="P115" s="6"/>
      <c r="Q115" s="38" t="s">
        <v>1547</v>
      </c>
      <c r="R115" s="38"/>
      <c r="S115" s="42"/>
    </row>
    <row r="116" spans="1:19" ht="16" customHeight="1" x14ac:dyDescent="0.2">
      <c r="A116" s="6"/>
      <c r="B116" s="41"/>
      <c r="C116" s="42" t="s">
        <v>486</v>
      </c>
      <c r="D116" s="42"/>
      <c r="E116" s="42"/>
      <c r="F116" s="42"/>
      <c r="G116" s="42"/>
      <c r="H116" s="5"/>
      <c r="I116" s="670"/>
      <c r="J116" s="670"/>
      <c r="K116" s="42"/>
      <c r="L116" s="42"/>
      <c r="M116" s="5"/>
      <c r="N116" s="663"/>
      <c r="O116" s="17" t="str">
        <f t="shared" ref="O116:O118" si="27">O115</f>
        <v>ACP5.17</v>
      </c>
      <c r="P116" s="6"/>
      <c r="Q116" s="38" t="s">
        <v>1547</v>
      </c>
      <c r="R116" s="38"/>
      <c r="S116" s="42"/>
    </row>
    <row r="117" spans="1:19" ht="16" customHeight="1" x14ac:dyDescent="0.2">
      <c r="A117" s="6"/>
      <c r="B117" s="41"/>
      <c r="C117" s="42" t="s">
        <v>486</v>
      </c>
      <c r="D117" s="42"/>
      <c r="E117" s="42"/>
      <c r="F117" s="42"/>
      <c r="G117" s="42"/>
      <c r="H117" s="42"/>
      <c r="I117" s="669"/>
      <c r="J117" s="669"/>
      <c r="K117" s="42"/>
      <c r="L117" s="42"/>
      <c r="M117" s="42"/>
      <c r="N117" s="663"/>
      <c r="O117" s="17" t="str">
        <f t="shared" si="27"/>
        <v>ACP5.17</v>
      </c>
      <c r="P117" s="6"/>
      <c r="Q117" s="38" t="s">
        <v>1547</v>
      </c>
      <c r="R117" s="38"/>
      <c r="S117" s="42"/>
    </row>
    <row r="118" spans="1:19" ht="16" customHeight="1" x14ac:dyDescent="0.2">
      <c r="A118" s="6"/>
      <c r="B118" s="41"/>
      <c r="C118" s="42" t="s">
        <v>486</v>
      </c>
      <c r="D118" s="42"/>
      <c r="E118" s="42"/>
      <c r="F118" s="42"/>
      <c r="G118" s="42"/>
      <c r="H118" s="42"/>
      <c r="I118" s="669"/>
      <c r="J118" s="669"/>
      <c r="K118" s="42"/>
      <c r="L118" s="42"/>
      <c r="M118" s="42"/>
      <c r="N118" s="663"/>
      <c r="O118" s="17" t="str">
        <f t="shared" si="27"/>
        <v>ACP5.17</v>
      </c>
      <c r="P118" s="6"/>
      <c r="Q118" s="38" t="s">
        <v>1547</v>
      </c>
      <c r="R118" s="38"/>
      <c r="S118" s="42"/>
    </row>
    <row r="119" spans="1:19" ht="63" customHeight="1" x14ac:dyDescent="0.2">
      <c r="A119" s="658" t="s">
        <v>2074</v>
      </c>
      <c r="B119" s="655" t="s">
        <v>1648</v>
      </c>
      <c r="C119" s="42" t="s">
        <v>486</v>
      </c>
      <c r="D119" s="42" t="s">
        <v>1639</v>
      </c>
      <c r="E119" s="668" t="s">
        <v>2201</v>
      </c>
      <c r="F119" s="41" t="s">
        <v>2429</v>
      </c>
      <c r="G119" s="435" t="s">
        <v>2227</v>
      </c>
      <c r="H119" s="693" t="s">
        <v>2367</v>
      </c>
      <c r="I119" s="702" t="s">
        <v>2392</v>
      </c>
      <c r="J119" s="702"/>
      <c r="K119" s="42"/>
      <c r="L119" s="42" t="s">
        <v>2179</v>
      </c>
      <c r="M119" s="723" t="s">
        <v>2472</v>
      </c>
      <c r="N119" s="663"/>
      <c r="O119" s="17" t="s">
        <v>1644</v>
      </c>
      <c r="P119" s="6"/>
      <c r="Q119" s="38" t="s">
        <v>1547</v>
      </c>
      <c r="R119" s="38"/>
      <c r="S119" s="42" t="s">
        <v>2471</v>
      </c>
    </row>
    <row r="120" spans="1:19" ht="16" customHeight="1" x14ac:dyDescent="0.2">
      <c r="A120" s="6"/>
      <c r="B120" s="41"/>
      <c r="C120" s="42" t="s">
        <v>486</v>
      </c>
      <c r="D120" s="42" t="s">
        <v>1640</v>
      </c>
      <c r="E120" s="42"/>
      <c r="F120" s="42"/>
      <c r="G120" s="42"/>
      <c r="H120" s="5"/>
      <c r="I120" s="670"/>
      <c r="J120" s="670"/>
      <c r="K120" s="42"/>
      <c r="L120" s="42" t="s">
        <v>2179</v>
      </c>
      <c r="M120" s="129" t="s">
        <v>2180</v>
      </c>
      <c r="N120" s="663"/>
      <c r="O120" s="17" t="str">
        <f t="shared" ref="O120:O122" si="28">O119</f>
        <v>ACP7.01</v>
      </c>
      <c r="P120" s="6"/>
      <c r="Q120" s="38" t="s">
        <v>1547</v>
      </c>
      <c r="R120" s="38"/>
      <c r="S120" s="42" t="s">
        <v>1643</v>
      </c>
    </row>
    <row r="121" spans="1:19" ht="16" customHeight="1" x14ac:dyDescent="0.2">
      <c r="A121" s="6"/>
      <c r="B121" s="41"/>
      <c r="C121" s="42" t="s">
        <v>486</v>
      </c>
      <c r="D121" s="42" t="s">
        <v>1641</v>
      </c>
      <c r="E121" s="42"/>
      <c r="F121" s="42"/>
      <c r="G121" s="42"/>
      <c r="H121" s="42"/>
      <c r="I121" s="669"/>
      <c r="J121" s="669"/>
      <c r="K121" s="42"/>
      <c r="L121" s="42" t="s">
        <v>2179</v>
      </c>
      <c r="M121" s="42"/>
      <c r="N121" s="663"/>
      <c r="O121" s="17" t="str">
        <f t="shared" si="28"/>
        <v>ACP7.01</v>
      </c>
      <c r="P121" s="6"/>
      <c r="Q121" s="38" t="s">
        <v>1547</v>
      </c>
      <c r="R121" s="38"/>
      <c r="S121" s="42" t="s">
        <v>1594</v>
      </c>
    </row>
    <row r="122" spans="1:19" ht="16" customHeight="1" x14ac:dyDescent="0.2">
      <c r="A122" s="6"/>
      <c r="B122" s="41" t="s">
        <v>1646</v>
      </c>
      <c r="C122" s="42" t="s">
        <v>486</v>
      </c>
      <c r="D122" s="42" t="s">
        <v>1642</v>
      </c>
      <c r="E122" s="42"/>
      <c r="F122" s="42"/>
      <c r="G122" s="42"/>
      <c r="H122" s="42"/>
      <c r="I122" s="669"/>
      <c r="J122" s="669"/>
      <c r="K122" s="42"/>
      <c r="L122" s="42" t="s">
        <v>2179</v>
      </c>
      <c r="M122" s="42"/>
      <c r="N122" s="663"/>
      <c r="O122" s="17" t="str">
        <f t="shared" si="28"/>
        <v>ACP7.01</v>
      </c>
      <c r="P122" s="6"/>
      <c r="Q122" s="38" t="s">
        <v>1547</v>
      </c>
      <c r="R122" s="38"/>
      <c r="S122" s="42" t="s">
        <v>1595</v>
      </c>
    </row>
    <row r="123" spans="1:19" s="44" customFormat="1" ht="15.5" customHeight="1" x14ac:dyDescent="0.2">
      <c r="A123" s="42"/>
      <c r="B123" s="41"/>
      <c r="C123" s="42" t="s">
        <v>486</v>
      </c>
      <c r="D123" s="42" t="s">
        <v>883</v>
      </c>
      <c r="E123" s="42" t="s">
        <v>946</v>
      </c>
      <c r="F123" s="42"/>
      <c r="G123" s="42"/>
      <c r="H123" s="42"/>
      <c r="I123" s="669"/>
      <c r="J123" s="669"/>
      <c r="K123" s="42"/>
      <c r="L123" s="42" t="s">
        <v>2179</v>
      </c>
      <c r="M123" s="42"/>
      <c r="N123" s="663"/>
      <c r="O123" s="17" t="s">
        <v>888</v>
      </c>
      <c r="P123" s="42"/>
      <c r="Q123" s="38" t="s">
        <v>1547</v>
      </c>
      <c r="R123" s="38"/>
      <c r="S123" s="42" t="s">
        <v>779</v>
      </c>
    </row>
    <row r="124" spans="1:19" s="44" customFormat="1" ht="15.5" customHeight="1" x14ac:dyDescent="0.2">
      <c r="A124" s="42"/>
      <c r="B124" s="41"/>
      <c r="C124" s="42" t="s">
        <v>486</v>
      </c>
      <c r="D124" s="42" t="s">
        <v>884</v>
      </c>
      <c r="E124" s="42" t="s">
        <v>946</v>
      </c>
      <c r="F124" s="42"/>
      <c r="G124" s="42"/>
      <c r="H124" s="42"/>
      <c r="I124" s="669"/>
      <c r="J124" s="669"/>
      <c r="K124" s="42"/>
      <c r="L124" s="42" t="s">
        <v>2179</v>
      </c>
      <c r="M124" s="42"/>
      <c r="N124" s="663"/>
      <c r="O124" s="17" t="str">
        <f t="shared" ref="O124:O125" si="29">O123</f>
        <v>ACP7.03</v>
      </c>
      <c r="P124" s="42"/>
      <c r="Q124" s="38" t="s">
        <v>1547</v>
      </c>
      <c r="R124" s="38"/>
      <c r="S124" s="38" t="s">
        <v>780</v>
      </c>
    </row>
    <row r="125" spans="1:19" s="44" customFormat="1" ht="15.5" customHeight="1" x14ac:dyDescent="0.2">
      <c r="A125" s="42"/>
      <c r="B125" s="41"/>
      <c r="C125" s="42" t="s">
        <v>486</v>
      </c>
      <c r="D125" s="42" t="s">
        <v>885</v>
      </c>
      <c r="E125" s="42" t="s">
        <v>927</v>
      </c>
      <c r="F125" s="42"/>
      <c r="G125" s="42"/>
      <c r="H125" s="42"/>
      <c r="I125" s="669"/>
      <c r="J125" s="669"/>
      <c r="K125" s="42"/>
      <c r="L125" s="42" t="s">
        <v>2179</v>
      </c>
      <c r="M125" s="42" t="s">
        <v>2179</v>
      </c>
      <c r="N125" s="663"/>
      <c r="O125" s="17" t="str">
        <f t="shared" si="29"/>
        <v>ACP7.03</v>
      </c>
      <c r="P125" s="42"/>
      <c r="Q125" s="38" t="s">
        <v>1547</v>
      </c>
      <c r="R125" s="38"/>
      <c r="S125" s="42" t="s">
        <v>868</v>
      </c>
    </row>
    <row r="126" spans="1:19" s="44" customFormat="1" ht="17" x14ac:dyDescent="0.2">
      <c r="A126" s="42"/>
      <c r="B126" s="41"/>
      <c r="C126" s="42" t="s">
        <v>486</v>
      </c>
      <c r="D126" s="175" t="s">
        <v>886</v>
      </c>
      <c r="E126" s="42"/>
      <c r="F126" s="42"/>
      <c r="G126" s="175"/>
      <c r="H126" s="42"/>
      <c r="I126" s="669"/>
      <c r="J126" s="669"/>
      <c r="K126" s="42"/>
      <c r="L126" s="42" t="s">
        <v>2179</v>
      </c>
      <c r="M126" s="42" t="s">
        <v>2179</v>
      </c>
      <c r="N126" s="663"/>
      <c r="O126" s="17" t="s">
        <v>447</v>
      </c>
      <c r="P126" s="42"/>
      <c r="Q126" s="38" t="s">
        <v>1547</v>
      </c>
      <c r="R126" s="38"/>
      <c r="S126" s="42" t="s">
        <v>945</v>
      </c>
    </row>
    <row r="127" spans="1:19" s="44" customFormat="1" ht="17" x14ac:dyDescent="0.2">
      <c r="A127" s="42"/>
      <c r="B127" s="41"/>
      <c r="C127" s="42" t="s">
        <v>486</v>
      </c>
      <c r="D127" s="175"/>
      <c r="E127" s="42"/>
      <c r="F127" s="42"/>
      <c r="G127" s="175"/>
      <c r="H127" s="42"/>
      <c r="I127" s="669"/>
      <c r="J127" s="669"/>
      <c r="K127" s="42"/>
      <c r="L127" s="42"/>
      <c r="M127" s="42"/>
      <c r="N127" s="663"/>
      <c r="O127" s="122" t="str">
        <f>O126</f>
        <v>DM20</v>
      </c>
      <c r="P127" s="42"/>
      <c r="Q127" s="38" t="s">
        <v>1547</v>
      </c>
      <c r="R127" s="38"/>
      <c r="S127" s="42"/>
    </row>
    <row r="128" spans="1:19" s="44" customFormat="1" ht="15.5" customHeight="1" x14ac:dyDescent="0.2">
      <c r="A128" s="42"/>
      <c r="B128" s="41"/>
      <c r="C128" s="42" t="s">
        <v>486</v>
      </c>
      <c r="D128" s="42" t="s">
        <v>870</v>
      </c>
      <c r="E128" s="42" t="s">
        <v>925</v>
      </c>
      <c r="F128" s="42"/>
      <c r="G128" s="42"/>
      <c r="H128" s="42"/>
      <c r="I128" s="669"/>
      <c r="J128" s="669"/>
      <c r="K128" s="42"/>
      <c r="L128" s="42" t="s">
        <v>2179</v>
      </c>
      <c r="M128" s="42"/>
      <c r="N128" s="663"/>
      <c r="O128" s="17" t="s">
        <v>874</v>
      </c>
      <c r="P128" s="42"/>
      <c r="Q128" s="38" t="s">
        <v>1547</v>
      </c>
      <c r="R128" s="38"/>
      <c r="S128" s="42" t="s">
        <v>775</v>
      </c>
    </row>
    <row r="129" spans="1:19" s="44" customFormat="1" ht="15.5" customHeight="1" x14ac:dyDescent="0.2">
      <c r="A129" s="42"/>
      <c r="B129" s="41"/>
      <c r="C129" s="42" t="s">
        <v>486</v>
      </c>
      <c r="D129" s="42" t="s">
        <v>871</v>
      </c>
      <c r="E129" s="42" t="s">
        <v>926</v>
      </c>
      <c r="F129" s="42"/>
      <c r="G129" s="42"/>
      <c r="H129" s="42"/>
      <c r="I129" s="669"/>
      <c r="J129" s="669"/>
      <c r="K129" s="42"/>
      <c r="L129" s="42" t="s">
        <v>2179</v>
      </c>
      <c r="M129" s="42"/>
      <c r="N129" s="663"/>
      <c r="O129" s="17" t="str">
        <f t="shared" ref="O129:O131" si="30">O128</f>
        <v>ACP7.04</v>
      </c>
      <c r="P129" s="42"/>
      <c r="Q129" s="38" t="s">
        <v>1547</v>
      </c>
      <c r="R129" s="38"/>
      <c r="S129" s="38" t="s">
        <v>933</v>
      </c>
    </row>
    <row r="130" spans="1:19" s="44" customFormat="1" ht="15.5" customHeight="1" x14ac:dyDescent="0.2">
      <c r="A130" s="42"/>
      <c r="B130" s="41"/>
      <c r="C130" s="42" t="s">
        <v>486</v>
      </c>
      <c r="D130" s="42" t="s">
        <v>872</v>
      </c>
      <c r="E130" s="42" t="s">
        <v>947</v>
      </c>
      <c r="F130" s="42"/>
      <c r="G130" s="42"/>
      <c r="H130" s="42"/>
      <c r="I130" s="669"/>
      <c r="J130" s="669"/>
      <c r="K130" s="42"/>
      <c r="L130" s="42" t="s">
        <v>2179</v>
      </c>
      <c r="M130" s="42" t="s">
        <v>2179</v>
      </c>
      <c r="N130" s="663"/>
      <c r="O130" s="17" t="str">
        <f t="shared" si="30"/>
        <v>ACP7.04</v>
      </c>
      <c r="P130" s="42"/>
      <c r="Q130" s="38" t="s">
        <v>1547</v>
      </c>
      <c r="R130" s="38"/>
      <c r="S130" s="38" t="s">
        <v>932</v>
      </c>
    </row>
    <row r="131" spans="1:19" s="44" customFormat="1" ht="15.5" customHeight="1" x14ac:dyDescent="0.2">
      <c r="A131" s="42"/>
      <c r="B131" s="41"/>
      <c r="C131" s="42" t="s">
        <v>486</v>
      </c>
      <c r="D131" s="42"/>
      <c r="E131" s="42" t="s">
        <v>948</v>
      </c>
      <c r="F131" s="42"/>
      <c r="G131" s="42"/>
      <c r="H131" s="42"/>
      <c r="I131" s="669"/>
      <c r="J131" s="669"/>
      <c r="K131" s="42"/>
      <c r="L131" s="42"/>
      <c r="M131" s="42"/>
      <c r="N131" s="663"/>
      <c r="O131" s="17" t="str">
        <f t="shared" si="30"/>
        <v>ACP7.04</v>
      </c>
      <c r="P131" s="42"/>
      <c r="Q131" s="38" t="s">
        <v>1547</v>
      </c>
      <c r="R131" s="38"/>
      <c r="S131" s="42"/>
    </row>
    <row r="132" spans="1:19" s="44" customFormat="1" ht="15.5" customHeight="1" x14ac:dyDescent="0.2">
      <c r="A132" s="42"/>
      <c r="B132" s="41"/>
      <c r="C132" s="42" t="s">
        <v>486</v>
      </c>
      <c r="D132" s="42" t="s">
        <v>864</v>
      </c>
      <c r="E132" s="42"/>
      <c r="F132" s="42"/>
      <c r="G132" s="42"/>
      <c r="H132" s="42"/>
      <c r="I132" s="669"/>
      <c r="J132" s="669"/>
      <c r="K132" s="42"/>
      <c r="L132" s="42" t="s">
        <v>2179</v>
      </c>
      <c r="M132" s="42"/>
      <c r="N132" s="663"/>
      <c r="O132" s="17" t="s">
        <v>875</v>
      </c>
      <c r="P132" s="42"/>
      <c r="Q132" s="38" t="s">
        <v>1547</v>
      </c>
      <c r="R132" s="38"/>
      <c r="S132" s="42" t="s">
        <v>901</v>
      </c>
    </row>
    <row r="133" spans="1:19" s="44" customFormat="1" ht="15.5" customHeight="1" x14ac:dyDescent="0.2">
      <c r="A133" s="42"/>
      <c r="B133" s="41"/>
      <c r="C133" s="42" t="s">
        <v>486</v>
      </c>
      <c r="D133" s="42" t="s">
        <v>865</v>
      </c>
      <c r="E133" s="42"/>
      <c r="F133" s="42"/>
      <c r="G133" s="42"/>
      <c r="H133" s="42"/>
      <c r="I133" s="669"/>
      <c r="J133" s="669"/>
      <c r="K133" s="42"/>
      <c r="L133" s="42" t="s">
        <v>2179</v>
      </c>
      <c r="M133" s="42"/>
      <c r="N133" s="663"/>
      <c r="O133" s="17" t="str">
        <f t="shared" ref="O133:O134" si="31">O132</f>
        <v>ACP7.05</v>
      </c>
      <c r="P133" s="45"/>
      <c r="Q133" s="38" t="s">
        <v>1547</v>
      </c>
      <c r="R133" s="38"/>
      <c r="S133" s="38" t="s">
        <v>891</v>
      </c>
    </row>
    <row r="134" spans="1:19" s="40" customFormat="1" ht="15.5" customHeight="1" x14ac:dyDescent="0.2">
      <c r="A134" s="45"/>
      <c r="B134" s="41"/>
      <c r="C134" s="42" t="s">
        <v>486</v>
      </c>
      <c r="D134" s="42" t="s">
        <v>866</v>
      </c>
      <c r="E134" s="42"/>
      <c r="F134" s="42"/>
      <c r="G134" s="42"/>
      <c r="H134" s="42"/>
      <c r="I134" s="669"/>
      <c r="J134" s="669"/>
      <c r="K134" s="42"/>
      <c r="L134" s="42" t="s">
        <v>2179</v>
      </c>
      <c r="M134" s="42" t="s">
        <v>2179</v>
      </c>
      <c r="N134" s="663"/>
      <c r="O134" s="17" t="str">
        <f t="shared" si="31"/>
        <v>ACP7.05</v>
      </c>
      <c r="P134" s="42"/>
      <c r="Q134" s="38" t="s">
        <v>1547</v>
      </c>
      <c r="R134" s="38"/>
      <c r="S134" s="42" t="s">
        <v>868</v>
      </c>
    </row>
    <row r="135" spans="1:19" s="44" customFormat="1" ht="17" x14ac:dyDescent="0.2">
      <c r="A135" s="42"/>
      <c r="B135" s="41"/>
      <c r="C135" s="42" t="s">
        <v>486</v>
      </c>
      <c r="D135" s="175" t="s">
        <v>867</v>
      </c>
      <c r="E135" s="42"/>
      <c r="F135" s="42"/>
      <c r="G135" s="175"/>
      <c r="H135" s="42"/>
      <c r="I135" s="669"/>
      <c r="J135" s="669"/>
      <c r="K135" s="42"/>
      <c r="L135" s="42" t="s">
        <v>2179</v>
      </c>
      <c r="M135" s="42" t="s">
        <v>2179</v>
      </c>
      <c r="N135" s="663" t="s">
        <v>912</v>
      </c>
      <c r="O135" s="17" t="s">
        <v>447</v>
      </c>
      <c r="P135" s="42"/>
      <c r="Q135" s="38" t="s">
        <v>447</v>
      </c>
      <c r="R135" s="38"/>
      <c r="S135" s="42" t="s">
        <v>902</v>
      </c>
    </row>
    <row r="136" spans="1:19" s="44" customFormat="1" ht="17" x14ac:dyDescent="0.2">
      <c r="A136" s="42"/>
      <c r="B136" s="41"/>
      <c r="C136" s="42" t="s">
        <v>486</v>
      </c>
      <c r="D136" s="175"/>
      <c r="E136" s="42"/>
      <c r="F136" s="42"/>
      <c r="G136" s="175"/>
      <c r="H136" s="42"/>
      <c r="I136" s="669"/>
      <c r="J136" s="669"/>
      <c r="K136" s="42"/>
      <c r="L136" s="42"/>
      <c r="M136" s="42"/>
      <c r="N136" s="663"/>
      <c r="O136" s="122" t="str">
        <f>O135</f>
        <v>DM20</v>
      </c>
      <c r="P136" s="42"/>
      <c r="Q136" s="38" t="s">
        <v>1547</v>
      </c>
      <c r="R136" s="38"/>
      <c r="S136" s="42"/>
    </row>
    <row r="137" spans="1:19" s="44" customFormat="1" ht="15.5" customHeight="1" x14ac:dyDescent="0.2">
      <c r="A137" s="42"/>
      <c r="B137" s="41"/>
      <c r="C137" s="42" t="s">
        <v>486</v>
      </c>
      <c r="D137" s="42" t="s">
        <v>862</v>
      </c>
      <c r="E137" s="42"/>
      <c r="F137" s="42"/>
      <c r="G137" s="42"/>
      <c r="H137" s="42"/>
      <c r="I137" s="669"/>
      <c r="J137" s="669"/>
      <c r="K137" s="42"/>
      <c r="L137" s="42" t="s">
        <v>2179</v>
      </c>
      <c r="M137" s="42"/>
      <c r="N137" s="663"/>
      <c r="O137" s="17" t="s">
        <v>876</v>
      </c>
      <c r="P137" s="42"/>
      <c r="Q137" s="38" t="s">
        <v>1547</v>
      </c>
      <c r="R137" s="38"/>
      <c r="S137" s="42" t="s">
        <v>489</v>
      </c>
    </row>
    <row r="138" spans="1:19" s="44" customFormat="1" ht="15.5" customHeight="1" x14ac:dyDescent="0.2">
      <c r="A138" s="42"/>
      <c r="B138" s="41"/>
      <c r="C138" s="42" t="s">
        <v>486</v>
      </c>
      <c r="D138" s="42" t="s">
        <v>863</v>
      </c>
      <c r="E138" s="42"/>
      <c r="F138" s="42"/>
      <c r="G138" s="42"/>
      <c r="H138" s="42"/>
      <c r="I138" s="669"/>
      <c r="J138" s="669"/>
      <c r="K138" s="42"/>
      <c r="L138" s="42" t="s">
        <v>2179</v>
      </c>
      <c r="M138" s="42"/>
      <c r="N138" s="663"/>
      <c r="O138" s="17" t="str">
        <f t="shared" ref="O138:O141" si="32">O137</f>
        <v>ACP7.06</v>
      </c>
      <c r="P138" s="45"/>
      <c r="Q138" s="38" t="s">
        <v>1547</v>
      </c>
      <c r="R138" s="38"/>
      <c r="S138" s="38" t="s">
        <v>891</v>
      </c>
    </row>
    <row r="139" spans="1:19" s="40" customFormat="1" ht="15.5" customHeight="1" x14ac:dyDescent="0.2">
      <c r="A139" s="45"/>
      <c r="B139" s="41"/>
      <c r="C139" s="42" t="s">
        <v>486</v>
      </c>
      <c r="D139" s="42"/>
      <c r="E139" s="42"/>
      <c r="F139" s="42"/>
      <c r="G139" s="42"/>
      <c r="H139" s="42"/>
      <c r="I139" s="669"/>
      <c r="J139" s="669"/>
      <c r="K139" s="42"/>
      <c r="L139" s="42"/>
      <c r="M139" s="42"/>
      <c r="N139" s="663"/>
      <c r="O139" s="17" t="str">
        <f t="shared" si="32"/>
        <v>ACP7.06</v>
      </c>
      <c r="P139" s="42"/>
      <c r="Q139" s="38" t="s">
        <v>1547</v>
      </c>
      <c r="R139" s="38"/>
      <c r="S139" s="42"/>
    </row>
    <row r="140" spans="1:19" s="44" customFormat="1" ht="15.5" customHeight="1" x14ac:dyDescent="0.2">
      <c r="A140" s="42"/>
      <c r="B140" s="41"/>
      <c r="C140" s="42" t="s">
        <v>486</v>
      </c>
      <c r="D140" s="175"/>
      <c r="E140" s="42"/>
      <c r="F140" s="42"/>
      <c r="G140" s="175"/>
      <c r="H140" s="42"/>
      <c r="I140" s="669"/>
      <c r="J140" s="669"/>
      <c r="K140" s="42"/>
      <c r="L140" s="42"/>
      <c r="M140" s="42"/>
      <c r="N140" s="663"/>
      <c r="O140" s="17" t="str">
        <f t="shared" si="32"/>
        <v>ACP7.06</v>
      </c>
      <c r="P140" s="42"/>
      <c r="Q140" s="38" t="s">
        <v>1547</v>
      </c>
      <c r="R140" s="38"/>
      <c r="S140" s="42"/>
    </row>
    <row r="141" spans="1:19" s="44" customFormat="1" ht="17" x14ac:dyDescent="0.2">
      <c r="A141" s="42"/>
      <c r="B141" s="707"/>
      <c r="C141" s="42" t="s">
        <v>486</v>
      </c>
      <c r="D141" s="45"/>
      <c r="E141" s="45"/>
      <c r="F141" s="45"/>
      <c r="G141" s="45"/>
      <c r="H141" s="45"/>
      <c r="I141" s="672"/>
      <c r="J141" s="672"/>
      <c r="K141" s="45"/>
      <c r="L141" s="45"/>
      <c r="M141" s="45"/>
      <c r="N141" s="451"/>
      <c r="O141" s="734" t="str">
        <f t="shared" si="32"/>
        <v>ACP7.06</v>
      </c>
      <c r="P141" s="42"/>
      <c r="Q141" s="38" t="s">
        <v>1547</v>
      </c>
      <c r="R141" s="38"/>
      <c r="S141" s="42"/>
    </row>
    <row r="142" spans="1:19" s="44" customFormat="1" ht="15.5" customHeight="1" x14ac:dyDescent="0.2">
      <c r="A142" s="42"/>
      <c r="B142" s="41"/>
      <c r="C142" s="42" t="s">
        <v>486</v>
      </c>
      <c r="D142" s="42" t="s">
        <v>879</v>
      </c>
      <c r="E142" s="42"/>
      <c r="F142" s="42"/>
      <c r="G142" s="42"/>
      <c r="H142" s="42"/>
      <c r="I142" s="669"/>
      <c r="J142" s="669"/>
      <c r="K142" s="42"/>
      <c r="L142" s="42" t="s">
        <v>2179</v>
      </c>
      <c r="M142" s="42" t="s">
        <v>2179</v>
      </c>
      <c r="N142" s="663"/>
      <c r="O142" s="17" t="s">
        <v>878</v>
      </c>
      <c r="P142" s="42"/>
      <c r="Q142" s="38" t="s">
        <v>1547</v>
      </c>
      <c r="R142" s="38"/>
      <c r="S142" s="42" t="s">
        <v>932</v>
      </c>
    </row>
    <row r="143" spans="1:19" s="44" customFormat="1" ht="15.5" customHeight="1" x14ac:dyDescent="0.2">
      <c r="A143" s="42"/>
      <c r="B143" s="41"/>
      <c r="C143" s="42" t="s">
        <v>486</v>
      </c>
      <c r="D143" s="42"/>
      <c r="E143" s="42"/>
      <c r="F143" s="42"/>
      <c r="G143" s="42"/>
      <c r="H143" s="42"/>
      <c r="I143" s="669"/>
      <c r="J143" s="669"/>
      <c r="K143" s="42"/>
      <c r="L143" s="42"/>
      <c r="M143" s="42"/>
      <c r="N143" s="663"/>
      <c r="O143" s="17" t="str">
        <f t="shared" ref="O143:O145" si="33">O142</f>
        <v>ACP7.07</v>
      </c>
      <c r="P143" s="45"/>
      <c r="Q143" s="38" t="s">
        <v>1547</v>
      </c>
      <c r="R143" s="38"/>
      <c r="S143" s="42"/>
    </row>
    <row r="144" spans="1:19" s="40" customFormat="1" ht="15.5" customHeight="1" x14ac:dyDescent="0.2">
      <c r="A144" s="45"/>
      <c r="B144" s="41"/>
      <c r="C144" s="42" t="s">
        <v>486</v>
      </c>
      <c r="D144" s="42"/>
      <c r="E144" s="42"/>
      <c r="F144" s="42"/>
      <c r="G144" s="42"/>
      <c r="H144" s="42"/>
      <c r="I144" s="669"/>
      <c r="J144" s="669"/>
      <c r="K144" s="42"/>
      <c r="L144" s="42"/>
      <c r="M144" s="42"/>
      <c r="N144" s="663"/>
      <c r="O144" s="17" t="str">
        <f t="shared" si="33"/>
        <v>ACP7.07</v>
      </c>
      <c r="P144" s="42"/>
      <c r="Q144" s="38" t="s">
        <v>1547</v>
      </c>
      <c r="R144" s="38"/>
      <c r="S144" s="42"/>
    </row>
    <row r="145" spans="1:19" s="44" customFormat="1" ht="15.75" customHeight="1" x14ac:dyDescent="0.2">
      <c r="A145" s="42"/>
      <c r="B145" s="41"/>
      <c r="C145" s="42" t="s">
        <v>486</v>
      </c>
      <c r="D145" s="175"/>
      <c r="E145" s="42"/>
      <c r="F145" s="42"/>
      <c r="G145" s="175"/>
      <c r="H145" s="42"/>
      <c r="I145" s="669"/>
      <c r="J145" s="669"/>
      <c r="K145" s="42"/>
      <c r="L145" s="42"/>
      <c r="M145" s="42"/>
      <c r="N145" s="663"/>
      <c r="O145" s="17" t="str">
        <f t="shared" si="33"/>
        <v>ACP7.07</v>
      </c>
      <c r="P145" s="42"/>
      <c r="Q145" s="38" t="s">
        <v>1547</v>
      </c>
      <c r="R145" s="38"/>
      <c r="S145" s="42"/>
    </row>
    <row r="146" spans="1:19" ht="16" customHeight="1" x14ac:dyDescent="0.2">
      <c r="A146" s="6"/>
      <c r="B146" s="41" t="s">
        <v>1881</v>
      </c>
      <c r="C146" s="42" t="s">
        <v>486</v>
      </c>
      <c r="D146" s="42" t="s">
        <v>1872</v>
      </c>
      <c r="E146" s="42"/>
      <c r="F146" s="42"/>
      <c r="G146" s="42"/>
      <c r="H146" s="5"/>
      <c r="I146" s="670"/>
      <c r="J146" s="670"/>
      <c r="K146" s="42"/>
      <c r="L146" s="42" t="s">
        <v>2179</v>
      </c>
      <c r="M146" s="129" t="s">
        <v>2180</v>
      </c>
      <c r="N146" s="663"/>
      <c r="O146" s="17" t="s">
        <v>2163</v>
      </c>
      <c r="P146" s="6"/>
      <c r="Q146" s="38" t="s">
        <v>1547</v>
      </c>
      <c r="R146" s="38"/>
      <c r="S146" s="42" t="s">
        <v>190</v>
      </c>
    </row>
    <row r="147" spans="1:19" ht="16" customHeight="1" x14ac:dyDescent="0.2">
      <c r="A147" s="6"/>
      <c r="B147" s="41" t="s">
        <v>1881</v>
      </c>
      <c r="C147" s="42" t="s">
        <v>486</v>
      </c>
      <c r="D147" s="42" t="s">
        <v>1873</v>
      </c>
      <c r="E147" s="42"/>
      <c r="F147" s="42"/>
      <c r="G147" s="42"/>
      <c r="H147" s="42"/>
      <c r="I147" s="669"/>
      <c r="J147" s="669"/>
      <c r="K147" s="42"/>
      <c r="L147" s="42" t="s">
        <v>2179</v>
      </c>
      <c r="M147" s="495" t="s">
        <v>2185</v>
      </c>
      <c r="N147" s="663"/>
      <c r="O147" s="17" t="str">
        <f t="shared" ref="O147:O149" si="34">O146</f>
        <v>ACP8.01</v>
      </c>
      <c r="P147" s="6"/>
      <c r="Q147" s="38" t="s">
        <v>1547</v>
      </c>
      <c r="R147" s="38"/>
      <c r="S147" s="38" t="s">
        <v>1877</v>
      </c>
    </row>
    <row r="148" spans="1:19" ht="16" customHeight="1" x14ac:dyDescent="0.2">
      <c r="A148" s="6"/>
      <c r="B148" s="41" t="s">
        <v>1881</v>
      </c>
      <c r="C148" s="42" t="s">
        <v>486</v>
      </c>
      <c r="D148" s="42" t="s">
        <v>1874</v>
      </c>
      <c r="E148" s="42"/>
      <c r="F148" s="42"/>
      <c r="G148" s="42"/>
      <c r="H148" s="5"/>
      <c r="I148" s="670"/>
      <c r="J148" s="670"/>
      <c r="K148" s="42"/>
      <c r="L148" s="42" t="s">
        <v>2179</v>
      </c>
      <c r="M148" s="129" t="s">
        <v>2180</v>
      </c>
      <c r="N148" s="663"/>
      <c r="O148" s="17" t="str">
        <f t="shared" si="34"/>
        <v>ACP8.01</v>
      </c>
      <c r="P148" s="6"/>
      <c r="Q148" s="38" t="s">
        <v>1547</v>
      </c>
      <c r="R148" s="38"/>
      <c r="S148" s="42" t="s">
        <v>1878</v>
      </c>
    </row>
    <row r="149" spans="1:19" ht="85" x14ac:dyDescent="0.2">
      <c r="A149" s="42"/>
      <c r="B149" s="41" t="s">
        <v>1881</v>
      </c>
      <c r="C149" s="42" t="s">
        <v>486</v>
      </c>
      <c r="D149" s="42" t="s">
        <v>2216</v>
      </c>
      <c r="E149" s="668" t="s">
        <v>2198</v>
      </c>
      <c r="F149" s="42"/>
      <c r="G149" s="646" t="s">
        <v>2199</v>
      </c>
      <c r="H149" s="693" t="s">
        <v>2366</v>
      </c>
      <c r="I149" s="670"/>
      <c r="J149" s="670"/>
      <c r="K149" s="42"/>
      <c r="L149" s="42" t="s">
        <v>2179</v>
      </c>
      <c r="M149" s="129" t="s">
        <v>2180</v>
      </c>
      <c r="N149" s="663"/>
      <c r="O149" s="17" t="str">
        <f t="shared" si="34"/>
        <v>ACP8.01</v>
      </c>
      <c r="P149" s="6"/>
      <c r="Q149" s="38" t="s">
        <v>1547</v>
      </c>
      <c r="R149" s="38"/>
      <c r="S149" s="42" t="s">
        <v>253</v>
      </c>
    </row>
    <row r="150" spans="1:19" ht="91" customHeight="1" x14ac:dyDescent="0.2">
      <c r="A150" s="42"/>
      <c r="B150" s="41"/>
      <c r="C150" s="42" t="s">
        <v>486</v>
      </c>
      <c r="D150" s="42" t="s">
        <v>2084</v>
      </c>
      <c r="E150" s="668" t="s">
        <v>2196</v>
      </c>
      <c r="F150" s="41" t="s">
        <v>2224</v>
      </c>
      <c r="G150" s="646" t="s">
        <v>2193</v>
      </c>
      <c r="H150" s="692" t="s">
        <v>2120</v>
      </c>
      <c r="I150" s="671"/>
      <c r="J150" s="671"/>
      <c r="K150" s="42" t="s">
        <v>1635</v>
      </c>
      <c r="L150" s="42" t="s">
        <v>2179</v>
      </c>
      <c r="M150" s="42" t="s">
        <v>2179</v>
      </c>
      <c r="N150" s="663"/>
      <c r="O150" s="17" t="s">
        <v>2164</v>
      </c>
      <c r="P150" s="6"/>
      <c r="Q150" s="38" t="s">
        <v>1547</v>
      </c>
      <c r="R150" s="38"/>
      <c r="S150" s="42" t="s">
        <v>915</v>
      </c>
    </row>
    <row r="151" spans="1:19" ht="98" customHeight="1" x14ac:dyDescent="0.2">
      <c r="A151" s="42"/>
      <c r="B151" s="41"/>
      <c r="C151" s="42" t="s">
        <v>486</v>
      </c>
      <c r="D151" s="42" t="s">
        <v>2085</v>
      </c>
      <c r="E151" s="668" t="s">
        <v>2197</v>
      </c>
      <c r="F151" s="41" t="s">
        <v>2225</v>
      </c>
      <c r="G151" s="646" t="s">
        <v>2200</v>
      </c>
      <c r="H151" s="692" t="s">
        <v>2120</v>
      </c>
      <c r="I151" s="671"/>
      <c r="J151" s="671"/>
      <c r="K151" s="42" t="s">
        <v>1636</v>
      </c>
      <c r="L151" s="42" t="s">
        <v>2179</v>
      </c>
      <c r="M151" s="26" t="s">
        <v>2179</v>
      </c>
      <c r="N151" s="663"/>
      <c r="O151" s="17" t="str">
        <f t="shared" ref="O151" si="35">O150</f>
        <v>ACP8.02</v>
      </c>
      <c r="P151" s="6"/>
      <c r="Q151" s="38" t="s">
        <v>1547</v>
      </c>
      <c r="R151" s="38"/>
      <c r="S151" s="42" t="s">
        <v>1634</v>
      </c>
    </row>
    <row r="152" spans="1:19" ht="16" customHeight="1" x14ac:dyDescent="0.2">
      <c r="A152" s="6"/>
      <c r="B152" s="41"/>
      <c r="C152" s="42" t="s">
        <v>486</v>
      </c>
      <c r="D152" s="42" t="s">
        <v>1884</v>
      </c>
      <c r="E152" s="42"/>
      <c r="F152" s="42" t="s">
        <v>2076</v>
      </c>
      <c r="G152" s="42"/>
      <c r="H152" s="42"/>
      <c r="I152" s="669"/>
      <c r="J152" s="669"/>
      <c r="K152" s="42"/>
      <c r="L152" s="496" t="s">
        <v>1889</v>
      </c>
      <c r="M152" s="42"/>
      <c r="N152" s="663"/>
      <c r="O152" s="17" t="s">
        <v>2165</v>
      </c>
      <c r="P152" s="6"/>
      <c r="Q152" s="38" t="s">
        <v>1547</v>
      </c>
      <c r="R152" s="38"/>
      <c r="S152" s="42" t="s">
        <v>1520</v>
      </c>
    </row>
    <row r="153" spans="1:19" ht="16" customHeight="1" x14ac:dyDescent="0.2">
      <c r="A153" s="6"/>
      <c r="B153" s="41"/>
      <c r="C153" s="42" t="s">
        <v>486</v>
      </c>
      <c r="D153" s="42" t="s">
        <v>1885</v>
      </c>
      <c r="E153" s="42"/>
      <c r="F153" s="42"/>
      <c r="G153" s="42"/>
      <c r="H153" s="42"/>
      <c r="I153" s="669"/>
      <c r="J153" s="669"/>
      <c r="K153" s="42"/>
      <c r="L153" s="42"/>
      <c r="M153" s="42" t="s">
        <v>2179</v>
      </c>
      <c r="N153" s="663"/>
      <c r="O153" s="17" t="str">
        <f t="shared" ref="O153:O155" si="36">O152</f>
        <v>ACP8.03</v>
      </c>
      <c r="P153" s="6"/>
      <c r="Q153" s="38" t="s">
        <v>1547</v>
      </c>
      <c r="R153" s="38"/>
      <c r="S153" s="42" t="s">
        <v>1886</v>
      </c>
    </row>
    <row r="154" spans="1:19" ht="16" customHeight="1" x14ac:dyDescent="0.2">
      <c r="A154" s="6"/>
      <c r="B154" s="41"/>
      <c r="C154" s="42" t="s">
        <v>486</v>
      </c>
      <c r="D154" s="42" t="s">
        <v>1883</v>
      </c>
      <c r="E154" s="42" t="s">
        <v>1888</v>
      </c>
      <c r="F154" s="42" t="s">
        <v>2076</v>
      </c>
      <c r="G154" s="42"/>
      <c r="H154" s="42"/>
      <c r="I154" s="42"/>
      <c r="J154" s="42"/>
      <c r="K154" s="42"/>
      <c r="L154" s="496" t="s">
        <v>1582</v>
      </c>
      <c r="M154" s="42" t="s">
        <v>2179</v>
      </c>
      <c r="N154" s="663"/>
      <c r="O154" s="17" t="str">
        <f t="shared" si="36"/>
        <v>ACP8.03</v>
      </c>
      <c r="P154" s="6"/>
      <c r="Q154" s="38" t="s">
        <v>1547</v>
      </c>
      <c r="R154" s="38"/>
      <c r="S154" s="42" t="s">
        <v>1887</v>
      </c>
    </row>
    <row r="155" spans="1:19" ht="95.5" customHeight="1" x14ac:dyDescent="0.2">
      <c r="A155" s="659"/>
      <c r="B155" s="41"/>
      <c r="C155" s="42" t="s">
        <v>486</v>
      </c>
      <c r="D155" s="42" t="s">
        <v>1882</v>
      </c>
      <c r="E155" s="668" t="s">
        <v>2198</v>
      </c>
      <c r="F155" s="41" t="s">
        <v>2128</v>
      </c>
      <c r="G155" s="646" t="s">
        <v>2123</v>
      </c>
      <c r="H155" s="692" t="s">
        <v>2158</v>
      </c>
      <c r="I155" s="41"/>
      <c r="J155" s="41"/>
      <c r="K155" s="42"/>
      <c r="L155" s="42" t="s">
        <v>2179</v>
      </c>
      <c r="M155" s="26" t="s">
        <v>2179</v>
      </c>
      <c r="N155" s="666"/>
      <c r="O155" s="17" t="str">
        <f t="shared" si="36"/>
        <v>ACP8.03</v>
      </c>
      <c r="P155" s="6"/>
      <c r="Q155" s="38" t="s">
        <v>1547</v>
      </c>
      <c r="R155" s="38"/>
      <c r="S155" s="42" t="s">
        <v>2124</v>
      </c>
    </row>
    <row r="156" spans="1:19" ht="16" customHeight="1" x14ac:dyDescent="0.2">
      <c r="A156" s="6"/>
      <c r="B156" s="41"/>
      <c r="C156" s="42" t="s">
        <v>486</v>
      </c>
      <c r="D156" s="42" t="s">
        <v>1890</v>
      </c>
      <c r="E156" s="42" t="s">
        <v>1893</v>
      </c>
      <c r="F156" s="42" t="s">
        <v>2076</v>
      </c>
      <c r="G156" s="42"/>
      <c r="H156" s="42"/>
      <c r="I156" s="42"/>
      <c r="J156" s="42"/>
      <c r="K156" s="42"/>
      <c r="L156" s="496" t="s">
        <v>1891</v>
      </c>
      <c r="M156" s="42" t="s">
        <v>2179</v>
      </c>
      <c r="N156" s="663"/>
      <c r="O156" s="17" t="s">
        <v>2166</v>
      </c>
      <c r="P156" s="6"/>
      <c r="Q156" s="38" t="s">
        <v>1547</v>
      </c>
      <c r="R156" s="38"/>
      <c r="S156" s="42" t="s">
        <v>1892</v>
      </c>
    </row>
    <row r="157" spans="1:19" ht="16" customHeight="1" x14ac:dyDescent="0.2">
      <c r="A157" s="6"/>
      <c r="B157" s="41"/>
      <c r="C157" s="42" t="s">
        <v>486</v>
      </c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663"/>
      <c r="O157" s="17" t="str">
        <f t="shared" ref="O157:O159" si="37">O156</f>
        <v>ACP8.04</v>
      </c>
      <c r="P157" s="6"/>
      <c r="Q157" s="38" t="s">
        <v>1547</v>
      </c>
      <c r="R157" s="38"/>
      <c r="S157" s="42"/>
    </row>
    <row r="158" spans="1:19" ht="16" customHeight="1" x14ac:dyDescent="0.2">
      <c r="A158" s="6"/>
      <c r="B158" s="41"/>
      <c r="C158" s="42" t="s">
        <v>486</v>
      </c>
      <c r="D158" s="42"/>
      <c r="E158" s="42"/>
      <c r="F158" s="42"/>
      <c r="G158" s="42"/>
      <c r="H158" s="42"/>
      <c r="I158" s="42"/>
      <c r="J158" s="42"/>
      <c r="K158" s="42"/>
      <c r="L158" s="498"/>
      <c r="M158" s="42"/>
      <c r="N158" s="663"/>
      <c r="O158" s="17" t="str">
        <f t="shared" si="37"/>
        <v>ACP8.04</v>
      </c>
      <c r="P158" s="6"/>
      <c r="Q158" s="38" t="s">
        <v>1547</v>
      </c>
      <c r="R158" s="38"/>
      <c r="S158" s="42"/>
    </row>
    <row r="159" spans="1:19" ht="16" customHeight="1" x14ac:dyDescent="0.2">
      <c r="A159" s="6"/>
      <c r="B159" s="41"/>
      <c r="C159" s="42" t="s">
        <v>486</v>
      </c>
      <c r="D159" s="42"/>
      <c r="E159" s="42"/>
      <c r="F159" s="42"/>
      <c r="G159" s="42"/>
      <c r="H159" s="5"/>
      <c r="I159" s="5"/>
      <c r="J159" s="5"/>
      <c r="K159" s="42"/>
      <c r="L159" s="46"/>
      <c r="M159" s="5"/>
      <c r="N159" s="666"/>
      <c r="O159" s="17" t="str">
        <f t="shared" si="37"/>
        <v>ACP8.04</v>
      </c>
      <c r="P159" s="6"/>
      <c r="Q159" s="38" t="s">
        <v>1547</v>
      </c>
      <c r="R159" s="38"/>
      <c r="S159" s="42"/>
    </row>
    <row r="160" spans="1:19" ht="16" customHeight="1" x14ac:dyDescent="0.2">
      <c r="A160" s="6"/>
      <c r="B160" s="41"/>
      <c r="C160" s="42" t="s">
        <v>486</v>
      </c>
      <c r="D160" s="42" t="s">
        <v>1897</v>
      </c>
      <c r="E160" s="42"/>
      <c r="F160" s="42" t="s">
        <v>2076</v>
      </c>
      <c r="G160" s="42"/>
      <c r="H160" s="42"/>
      <c r="I160" s="42"/>
      <c r="J160" s="42"/>
      <c r="K160" s="42"/>
      <c r="L160" s="496" t="s">
        <v>1582</v>
      </c>
      <c r="M160" s="42" t="s">
        <v>2179</v>
      </c>
      <c r="N160" s="666"/>
      <c r="O160" s="17" t="s">
        <v>2167</v>
      </c>
      <c r="P160" s="6"/>
      <c r="Q160" s="38" t="s">
        <v>1547</v>
      </c>
      <c r="R160" s="38"/>
      <c r="S160" s="42"/>
    </row>
    <row r="161" spans="1:19" ht="16" customHeight="1" x14ac:dyDescent="0.2">
      <c r="A161" s="6"/>
      <c r="B161" s="41"/>
      <c r="C161" s="42" t="s">
        <v>486</v>
      </c>
      <c r="D161" s="42" t="s">
        <v>1898</v>
      </c>
      <c r="E161" s="42"/>
      <c r="F161" s="42" t="s">
        <v>2076</v>
      </c>
      <c r="G161" s="42"/>
      <c r="H161" s="42"/>
      <c r="I161" s="42"/>
      <c r="J161" s="42"/>
      <c r="K161" s="42"/>
      <c r="L161" s="496" t="s">
        <v>1900</v>
      </c>
      <c r="M161" s="42" t="s">
        <v>2179</v>
      </c>
      <c r="N161" s="666"/>
      <c r="O161" s="17" t="str">
        <f t="shared" ref="O161:O163" si="38">O160</f>
        <v>ACP8.02B</v>
      </c>
      <c r="P161" s="6"/>
      <c r="Q161" s="38" t="s">
        <v>1547</v>
      </c>
      <c r="R161" s="38"/>
      <c r="S161" s="42"/>
    </row>
    <row r="162" spans="1:19" ht="16" customHeight="1" x14ac:dyDescent="0.2">
      <c r="A162" s="6"/>
      <c r="B162" s="41"/>
      <c r="C162" s="42" t="s">
        <v>486</v>
      </c>
      <c r="D162" s="42" t="s">
        <v>1899</v>
      </c>
      <c r="E162" s="42"/>
      <c r="F162" s="42" t="s">
        <v>2076</v>
      </c>
      <c r="G162" s="42"/>
      <c r="H162" s="42"/>
      <c r="I162" s="42"/>
      <c r="J162" s="42"/>
      <c r="K162" s="42"/>
      <c r="L162" s="496" t="s">
        <v>1582</v>
      </c>
      <c r="M162" s="42" t="s">
        <v>2179</v>
      </c>
      <c r="N162" s="666"/>
      <c r="O162" s="17" t="str">
        <f t="shared" si="38"/>
        <v>ACP8.02B</v>
      </c>
      <c r="P162" s="6"/>
      <c r="Q162" s="38" t="s">
        <v>1547</v>
      </c>
      <c r="R162" s="38"/>
      <c r="S162" s="42"/>
    </row>
    <row r="163" spans="1:19" ht="16" customHeight="1" x14ac:dyDescent="0.2">
      <c r="A163" s="6"/>
      <c r="B163" s="41"/>
      <c r="C163" s="42" t="s">
        <v>486</v>
      </c>
      <c r="D163" s="42"/>
      <c r="E163" s="42"/>
      <c r="F163" s="42"/>
      <c r="G163" s="42"/>
      <c r="H163" s="5"/>
      <c r="I163" s="5"/>
      <c r="J163" s="5"/>
      <c r="K163" s="42"/>
      <c r="L163" s="46"/>
      <c r="M163" s="5"/>
      <c r="N163" s="666"/>
      <c r="O163" s="17" t="str">
        <f t="shared" si="38"/>
        <v>ACP8.02B</v>
      </c>
      <c r="P163" s="6"/>
      <c r="Q163" s="38" t="s">
        <v>1547</v>
      </c>
      <c r="R163" s="38"/>
      <c r="S163" s="42"/>
    </row>
    <row r="164" spans="1:19" s="44" customFormat="1" ht="15.5" customHeight="1" x14ac:dyDescent="0.2">
      <c r="A164" s="42"/>
      <c r="B164" s="41"/>
      <c r="C164" s="42" t="s">
        <v>486</v>
      </c>
      <c r="D164" s="42" t="s">
        <v>892</v>
      </c>
      <c r="E164" s="42"/>
      <c r="F164" s="42"/>
      <c r="G164" s="42"/>
      <c r="H164" s="42"/>
      <c r="I164" s="42"/>
      <c r="J164" s="42"/>
      <c r="K164" s="42"/>
      <c r="L164" s="42" t="s">
        <v>2179</v>
      </c>
      <c r="M164" s="42"/>
      <c r="N164" s="663"/>
      <c r="O164" s="17" t="s">
        <v>2168</v>
      </c>
      <c r="P164" s="42"/>
      <c r="Q164" s="38" t="s">
        <v>1547</v>
      </c>
      <c r="R164" s="38"/>
      <c r="S164" s="42" t="s">
        <v>775</v>
      </c>
    </row>
    <row r="165" spans="1:19" s="44" customFormat="1" ht="34" x14ac:dyDescent="0.2">
      <c r="A165" s="42"/>
      <c r="B165" s="41"/>
      <c r="C165" s="42" t="s">
        <v>486</v>
      </c>
      <c r="D165" s="42" t="s">
        <v>625</v>
      </c>
      <c r="E165" s="42"/>
      <c r="F165" s="42"/>
      <c r="G165" s="42"/>
      <c r="H165" s="42"/>
      <c r="I165" s="42"/>
      <c r="J165" s="42"/>
      <c r="K165" s="42"/>
      <c r="L165" s="660" t="s">
        <v>2179</v>
      </c>
      <c r="M165" s="42" t="s">
        <v>2179</v>
      </c>
      <c r="N165" s="663"/>
      <c r="O165" s="17" t="str">
        <f t="shared" ref="O165:O167" si="39">O164</f>
        <v>ACP9.01</v>
      </c>
      <c r="P165" s="45"/>
      <c r="Q165" s="38" t="s">
        <v>1547</v>
      </c>
      <c r="R165" s="38"/>
      <c r="S165" s="38" t="s">
        <v>895</v>
      </c>
    </row>
    <row r="166" spans="1:19" s="40" customFormat="1" ht="15.5" customHeight="1" x14ac:dyDescent="0.2">
      <c r="A166" s="45"/>
      <c r="B166" s="41"/>
      <c r="C166" s="42" t="s">
        <v>486</v>
      </c>
      <c r="D166" s="42" t="s">
        <v>893</v>
      </c>
      <c r="E166" s="42"/>
      <c r="F166" s="42"/>
      <c r="G166" s="42"/>
      <c r="H166" s="42"/>
      <c r="I166" s="42"/>
      <c r="J166" s="42"/>
      <c r="K166" s="42"/>
      <c r="L166" s="42" t="s">
        <v>2179</v>
      </c>
      <c r="M166" s="42"/>
      <c r="N166" s="663"/>
      <c r="O166" s="17" t="str">
        <f t="shared" si="39"/>
        <v>ACP9.01</v>
      </c>
      <c r="P166" s="45"/>
      <c r="Q166" s="38" t="s">
        <v>1547</v>
      </c>
      <c r="R166" s="38"/>
      <c r="S166" s="42" t="s">
        <v>891</v>
      </c>
    </row>
    <row r="167" spans="1:19" s="40" customFormat="1" ht="15.5" customHeight="1" x14ac:dyDescent="0.2">
      <c r="A167" s="45"/>
      <c r="B167" s="41"/>
      <c r="C167" s="42" t="s">
        <v>486</v>
      </c>
      <c r="D167" s="175" t="s">
        <v>894</v>
      </c>
      <c r="E167" s="42"/>
      <c r="F167" s="42"/>
      <c r="G167" s="175"/>
      <c r="H167" s="42"/>
      <c r="I167" s="42"/>
      <c r="J167" s="42"/>
      <c r="K167" s="42"/>
      <c r="L167" s="660" t="s">
        <v>2179</v>
      </c>
      <c r="M167" s="42"/>
      <c r="N167" s="663"/>
      <c r="O167" s="17" t="str">
        <f t="shared" si="39"/>
        <v>ACP9.01</v>
      </c>
      <c r="P167" s="45"/>
      <c r="Q167" s="38" t="s">
        <v>1547</v>
      </c>
      <c r="R167" s="38"/>
      <c r="S167" s="42"/>
    </row>
    <row r="168" spans="1:19" s="40" customFormat="1" ht="15.5" customHeight="1" x14ac:dyDescent="0.2">
      <c r="A168" s="45"/>
      <c r="B168" s="41"/>
      <c r="C168" s="42" t="s">
        <v>486</v>
      </c>
      <c r="D168" s="42" t="s">
        <v>904</v>
      </c>
      <c r="E168" s="42" t="s">
        <v>908</v>
      </c>
      <c r="F168" s="42"/>
      <c r="G168" s="42"/>
      <c r="H168" s="42"/>
      <c r="I168" s="42"/>
      <c r="J168" s="42"/>
      <c r="K168" s="42"/>
      <c r="L168" s="42" t="s">
        <v>2179</v>
      </c>
      <c r="M168" s="42"/>
      <c r="N168" s="663"/>
      <c r="O168" s="17" t="s">
        <v>2169</v>
      </c>
      <c r="P168" s="45"/>
      <c r="Q168" s="38" t="s">
        <v>1547</v>
      </c>
      <c r="R168" s="38"/>
      <c r="S168" s="42" t="s">
        <v>914</v>
      </c>
    </row>
    <row r="169" spans="1:19" s="40" customFormat="1" ht="15.5" customHeight="1" x14ac:dyDescent="0.2">
      <c r="A169" s="45"/>
      <c r="B169" s="41"/>
      <c r="C169" s="42" t="s">
        <v>486</v>
      </c>
      <c r="D169" s="42" t="s">
        <v>905</v>
      </c>
      <c r="E169" s="42" t="s">
        <v>909</v>
      </c>
      <c r="F169" s="42"/>
      <c r="G169" s="42"/>
      <c r="H169" s="42"/>
      <c r="I169" s="42"/>
      <c r="J169" s="42"/>
      <c r="K169" s="42"/>
      <c r="L169" s="129" t="s">
        <v>2180</v>
      </c>
      <c r="M169" s="42" t="s">
        <v>2179</v>
      </c>
      <c r="N169" s="663"/>
      <c r="O169" s="17" t="str">
        <f t="shared" ref="O169:O171" si="40">O168</f>
        <v>ACP9.02</v>
      </c>
      <c r="P169" s="6"/>
      <c r="Q169" s="38" t="s">
        <v>1547</v>
      </c>
      <c r="R169" s="38"/>
      <c r="S169" s="38" t="s">
        <v>913</v>
      </c>
    </row>
    <row r="170" spans="1:19" ht="22" customHeight="1" x14ac:dyDescent="0.2">
      <c r="A170" s="6"/>
      <c r="B170" s="41"/>
      <c r="C170" s="42" t="s">
        <v>486</v>
      </c>
      <c r="D170" s="42" t="s">
        <v>906</v>
      </c>
      <c r="E170" s="42" t="s">
        <v>907</v>
      </c>
      <c r="F170" s="42"/>
      <c r="G170" s="42"/>
      <c r="H170" s="42"/>
      <c r="I170" s="42"/>
      <c r="J170" s="42"/>
      <c r="K170" s="42"/>
      <c r="L170" s="42" t="s">
        <v>2186</v>
      </c>
      <c r="M170" s="42" t="s">
        <v>2179</v>
      </c>
      <c r="N170" s="663"/>
      <c r="O170" s="17" t="str">
        <f t="shared" si="40"/>
        <v>ACP9.02</v>
      </c>
      <c r="P170" s="6"/>
      <c r="Q170" s="38" t="s">
        <v>1547</v>
      </c>
      <c r="R170" s="38"/>
      <c r="S170" s="42" t="s">
        <v>915</v>
      </c>
    </row>
    <row r="171" spans="1:19" ht="22" customHeight="1" x14ac:dyDescent="0.2">
      <c r="A171" s="6"/>
      <c r="B171" s="41"/>
      <c r="C171" s="42" t="s">
        <v>486</v>
      </c>
      <c r="D171" s="175"/>
      <c r="E171" s="42"/>
      <c r="F171" s="42"/>
      <c r="G171" s="175"/>
      <c r="H171" s="42"/>
      <c r="I171" s="42"/>
      <c r="J171" s="42"/>
      <c r="K171" s="42"/>
      <c r="L171" s="42"/>
      <c r="M171" s="42"/>
      <c r="N171" s="663"/>
      <c r="O171" s="17" t="str">
        <f t="shared" si="40"/>
        <v>ACP9.02</v>
      </c>
      <c r="P171" s="6"/>
      <c r="Q171" s="38" t="s">
        <v>1547</v>
      </c>
      <c r="R171" s="38"/>
      <c r="S171" s="42"/>
    </row>
    <row r="172" spans="1:19" ht="16" customHeight="1" x14ac:dyDescent="0.2">
      <c r="A172" s="6"/>
      <c r="B172" s="41"/>
      <c r="C172" s="42" t="s">
        <v>486</v>
      </c>
      <c r="D172" s="42" t="s">
        <v>1570</v>
      </c>
      <c r="E172" s="41" t="s">
        <v>1605</v>
      </c>
      <c r="F172" s="42"/>
      <c r="G172" s="42"/>
      <c r="H172" s="42"/>
      <c r="I172" s="42"/>
      <c r="J172" s="42"/>
      <c r="K172" s="42"/>
      <c r="L172" s="42" t="s">
        <v>2179</v>
      </c>
      <c r="M172" s="42"/>
      <c r="N172" s="663"/>
      <c r="O172" s="17" t="s">
        <v>2170</v>
      </c>
      <c r="P172" s="6"/>
      <c r="Q172" s="38" t="s">
        <v>1547</v>
      </c>
      <c r="R172" s="38"/>
      <c r="S172" s="42" t="s">
        <v>1601</v>
      </c>
    </row>
    <row r="173" spans="1:19" ht="15.5" customHeight="1" x14ac:dyDescent="0.2">
      <c r="A173" s="6"/>
      <c r="B173" s="41"/>
      <c r="C173" s="42" t="s">
        <v>486</v>
      </c>
      <c r="D173" s="42" t="s">
        <v>1571</v>
      </c>
      <c r="E173" s="41" t="s">
        <v>1600</v>
      </c>
      <c r="F173" s="42"/>
      <c r="G173" s="42"/>
      <c r="H173" s="42"/>
      <c r="I173" s="42"/>
      <c r="J173" s="42"/>
      <c r="K173" s="42"/>
      <c r="L173" s="42" t="s">
        <v>2179</v>
      </c>
      <c r="M173" s="42"/>
      <c r="N173" s="663"/>
      <c r="O173" s="17" t="str">
        <f t="shared" ref="O173:O175" si="41">O172</f>
        <v>ACP5.01B</v>
      </c>
      <c r="P173" s="6"/>
      <c r="Q173" s="38" t="s">
        <v>1547</v>
      </c>
      <c r="R173" s="38"/>
      <c r="S173" s="42" t="s">
        <v>1602</v>
      </c>
    </row>
    <row r="174" spans="1:19" ht="15.5" customHeight="1" x14ac:dyDescent="0.2">
      <c r="A174" s="6"/>
      <c r="B174" s="41"/>
      <c r="C174" s="42" t="s">
        <v>486</v>
      </c>
      <c r="D174" s="42" t="s">
        <v>1572</v>
      </c>
      <c r="E174" s="41" t="s">
        <v>1599</v>
      </c>
      <c r="F174" s="42"/>
      <c r="G174" s="42"/>
      <c r="H174" s="42"/>
      <c r="I174" s="42"/>
      <c r="J174" s="42"/>
      <c r="K174" s="42"/>
      <c r="L174" s="42" t="s">
        <v>2179</v>
      </c>
      <c r="M174" s="42"/>
      <c r="N174" s="663"/>
      <c r="O174" s="17" t="str">
        <f t="shared" si="41"/>
        <v>ACP5.01B</v>
      </c>
      <c r="P174" s="6"/>
      <c r="Q174" s="38" t="s">
        <v>1547</v>
      </c>
      <c r="R174" s="38"/>
      <c r="S174" s="42" t="s">
        <v>1594</v>
      </c>
    </row>
    <row r="175" spans="1:19" ht="31.25" customHeight="1" x14ac:dyDescent="0.2">
      <c r="A175" s="6"/>
      <c r="B175" s="41"/>
      <c r="C175" s="42" t="s">
        <v>486</v>
      </c>
      <c r="D175" s="175" t="s">
        <v>1573</v>
      </c>
      <c r="E175" s="41" t="s">
        <v>1598</v>
      </c>
      <c r="F175" s="42"/>
      <c r="G175" s="175"/>
      <c r="H175" s="42"/>
      <c r="I175" s="42"/>
      <c r="J175" s="42"/>
      <c r="K175" s="42"/>
      <c r="L175" s="42" t="s">
        <v>2179</v>
      </c>
      <c r="M175" s="42"/>
      <c r="N175" s="663"/>
      <c r="O175" s="17" t="str">
        <f t="shared" si="41"/>
        <v>ACP5.01B</v>
      </c>
      <c r="P175" s="6"/>
      <c r="Q175" s="38" t="s">
        <v>1547</v>
      </c>
      <c r="R175" s="38"/>
      <c r="S175" s="42" t="s">
        <v>1595</v>
      </c>
    </row>
    <row r="176" spans="1:19" s="44" customFormat="1" ht="31.25" customHeight="1" x14ac:dyDescent="0.2">
      <c r="A176" s="42"/>
      <c r="B176" s="41"/>
      <c r="C176" s="42" t="s">
        <v>486</v>
      </c>
      <c r="D176" s="42" t="s">
        <v>1574</v>
      </c>
      <c r="E176" s="41" t="s">
        <v>1588</v>
      </c>
      <c r="F176" s="42"/>
      <c r="G176" s="42"/>
      <c r="H176" s="42"/>
      <c r="I176" s="42"/>
      <c r="J176" s="42"/>
      <c r="K176" s="42"/>
      <c r="L176" s="42" t="s">
        <v>2179</v>
      </c>
      <c r="M176" s="42"/>
      <c r="N176" s="663"/>
      <c r="O176" s="17" t="s">
        <v>2171</v>
      </c>
      <c r="P176" s="42"/>
      <c r="Q176" s="38" t="s">
        <v>1547</v>
      </c>
      <c r="R176" s="38"/>
      <c r="S176" s="42" t="s">
        <v>1592</v>
      </c>
    </row>
    <row r="177" spans="1:19" s="44" customFormat="1" ht="31.25" customHeight="1" x14ac:dyDescent="0.2">
      <c r="A177" s="42"/>
      <c r="B177" s="41"/>
      <c r="C177" s="42" t="s">
        <v>486</v>
      </c>
      <c r="D177" s="42" t="s">
        <v>1583</v>
      </c>
      <c r="E177" s="41" t="s">
        <v>1587</v>
      </c>
      <c r="F177" s="42"/>
      <c r="G177" s="42"/>
      <c r="H177" s="42"/>
      <c r="I177" s="42"/>
      <c r="J177" s="42"/>
      <c r="K177" s="42"/>
      <c r="L177" s="42" t="s">
        <v>2179</v>
      </c>
      <c r="M177" s="42"/>
      <c r="N177" s="663"/>
      <c r="O177" s="17" t="str">
        <f t="shared" ref="O177:O179" si="42">O176</f>
        <v>ACP5.02B</v>
      </c>
      <c r="P177" s="42"/>
      <c r="Q177" s="38" t="s">
        <v>1547</v>
      </c>
      <c r="R177" s="38"/>
      <c r="S177" s="42" t="s">
        <v>1593</v>
      </c>
    </row>
    <row r="178" spans="1:19" s="44" customFormat="1" ht="31.25" customHeight="1" x14ac:dyDescent="0.2">
      <c r="A178" s="42"/>
      <c r="B178" s="41"/>
      <c r="C178" s="42" t="s">
        <v>486</v>
      </c>
      <c r="D178" s="42" t="s">
        <v>1584</v>
      </c>
      <c r="E178" s="41" t="s">
        <v>1589</v>
      </c>
      <c r="F178" s="42"/>
      <c r="G178" s="42"/>
      <c r="H178" s="42"/>
      <c r="I178" s="42"/>
      <c r="J178" s="42"/>
      <c r="K178" s="42"/>
      <c r="L178" s="42" t="s">
        <v>2179</v>
      </c>
      <c r="M178" s="42"/>
      <c r="N178" s="663"/>
      <c r="O178" s="17" t="str">
        <f t="shared" si="42"/>
        <v>ACP5.02B</v>
      </c>
      <c r="P178" s="42"/>
      <c r="Q178" s="38" t="s">
        <v>1547</v>
      </c>
      <c r="R178" s="38"/>
      <c r="S178" s="42" t="s">
        <v>1594</v>
      </c>
    </row>
    <row r="179" spans="1:19" s="44" customFormat="1" ht="31.25" customHeight="1" x14ac:dyDescent="0.2">
      <c r="A179" s="42"/>
      <c r="B179" s="41"/>
      <c r="C179" s="42" t="s">
        <v>486</v>
      </c>
      <c r="D179" s="175" t="s">
        <v>1585</v>
      </c>
      <c r="E179" s="41" t="s">
        <v>1586</v>
      </c>
      <c r="F179" s="42"/>
      <c r="G179" s="175"/>
      <c r="H179" s="42"/>
      <c r="I179" s="42"/>
      <c r="J179" s="42"/>
      <c r="K179" s="42"/>
      <c r="L179" s="42" t="s">
        <v>2179</v>
      </c>
      <c r="M179" s="42"/>
      <c r="N179" s="663"/>
      <c r="O179" s="17" t="str">
        <f t="shared" si="42"/>
        <v>ACP5.02B</v>
      </c>
      <c r="P179" s="42"/>
      <c r="Q179" s="38" t="s">
        <v>1547</v>
      </c>
      <c r="R179" s="38"/>
      <c r="S179" s="42" t="s">
        <v>1595</v>
      </c>
    </row>
    <row r="180" spans="1:19" s="44" customFormat="1" ht="15.5" customHeight="1" x14ac:dyDescent="0.2">
      <c r="A180" s="42"/>
      <c r="B180" s="41"/>
      <c r="C180" s="42" t="s">
        <v>486</v>
      </c>
      <c r="D180" s="42" t="s">
        <v>1575</v>
      </c>
      <c r="E180" s="41" t="s">
        <v>1606</v>
      </c>
      <c r="F180" s="42"/>
      <c r="G180" s="42"/>
      <c r="H180" s="42"/>
      <c r="I180" s="42"/>
      <c r="J180" s="42"/>
      <c r="K180" s="42"/>
      <c r="L180" s="42" t="s">
        <v>2179</v>
      </c>
      <c r="M180" s="42"/>
      <c r="N180" s="663"/>
      <c r="O180" s="17" t="s">
        <v>2172</v>
      </c>
      <c r="P180" s="42"/>
      <c r="Q180" s="38" t="s">
        <v>1547</v>
      </c>
      <c r="R180" s="38"/>
      <c r="S180" s="42" t="s">
        <v>1592</v>
      </c>
    </row>
    <row r="181" spans="1:19" s="44" customFormat="1" ht="16" customHeight="1" x14ac:dyDescent="0.2">
      <c r="A181" s="42"/>
      <c r="B181" s="41"/>
      <c r="C181" s="42" t="s">
        <v>486</v>
      </c>
      <c r="D181" s="42" t="s">
        <v>1607</v>
      </c>
      <c r="E181" s="41" t="s">
        <v>1610</v>
      </c>
      <c r="F181" s="42"/>
      <c r="G181" s="42"/>
      <c r="H181" s="42"/>
      <c r="I181" s="42"/>
      <c r="J181" s="42"/>
      <c r="K181" s="42"/>
      <c r="L181" s="42" t="s">
        <v>2179</v>
      </c>
      <c r="M181" s="42"/>
      <c r="N181" s="663"/>
      <c r="O181" s="17" t="str">
        <f t="shared" ref="O181:O183" si="43">O180</f>
        <v>ACP5.03B</v>
      </c>
      <c r="P181" s="42"/>
      <c r="Q181" s="38" t="s">
        <v>1547</v>
      </c>
      <c r="R181" s="38"/>
      <c r="S181" s="42" t="s">
        <v>1593</v>
      </c>
    </row>
    <row r="182" spans="1:19" s="44" customFormat="1" ht="31.25" customHeight="1" x14ac:dyDescent="0.2">
      <c r="A182" s="42"/>
      <c r="B182" s="41"/>
      <c r="C182" s="42" t="s">
        <v>486</v>
      </c>
      <c r="D182" s="42" t="s">
        <v>1576</v>
      </c>
      <c r="E182" s="41" t="s">
        <v>1615</v>
      </c>
      <c r="F182" s="42"/>
      <c r="G182" s="42"/>
      <c r="H182" s="42"/>
      <c r="I182" s="42"/>
      <c r="J182" s="42"/>
      <c r="K182" s="42"/>
      <c r="L182" s="42" t="s">
        <v>2179</v>
      </c>
      <c r="M182" s="42"/>
      <c r="N182" s="663"/>
      <c r="O182" s="17" t="str">
        <f t="shared" si="43"/>
        <v>ACP5.03B</v>
      </c>
      <c r="P182" s="42"/>
      <c r="Q182" s="38" t="s">
        <v>1547</v>
      </c>
      <c r="R182" s="38"/>
      <c r="S182" s="42" t="s">
        <v>1594</v>
      </c>
    </row>
    <row r="183" spans="1:19" s="44" customFormat="1" ht="15.5" customHeight="1" x14ac:dyDescent="0.2">
      <c r="A183" s="42"/>
      <c r="B183" s="41"/>
      <c r="C183" s="42" t="s">
        <v>486</v>
      </c>
      <c r="D183" s="175" t="s">
        <v>1577</v>
      </c>
      <c r="E183" s="41" t="s">
        <v>1611</v>
      </c>
      <c r="F183" s="42"/>
      <c r="G183" s="175"/>
      <c r="H183" s="42"/>
      <c r="I183" s="42"/>
      <c r="J183" s="42"/>
      <c r="K183" s="42"/>
      <c r="L183" s="42" t="s">
        <v>2179</v>
      </c>
      <c r="M183" s="42"/>
      <c r="N183" s="663"/>
      <c r="O183" s="17" t="str">
        <f t="shared" si="43"/>
        <v>ACP5.03B</v>
      </c>
      <c r="P183" s="42"/>
      <c r="Q183" s="38" t="s">
        <v>1547</v>
      </c>
      <c r="R183" s="38"/>
      <c r="S183" s="42" t="s">
        <v>1595</v>
      </c>
    </row>
    <row r="184" spans="1:19" s="44" customFormat="1" ht="15.5" customHeight="1" x14ac:dyDescent="0.2">
      <c r="A184" s="42"/>
      <c r="B184" s="41"/>
      <c r="C184" s="42" t="s">
        <v>486</v>
      </c>
      <c r="D184" s="42" t="s">
        <v>1578</v>
      </c>
      <c r="E184" s="42"/>
      <c r="F184" s="42"/>
      <c r="G184" s="42"/>
      <c r="H184" s="42"/>
      <c r="I184" s="42"/>
      <c r="J184" s="42"/>
      <c r="K184" s="42"/>
      <c r="L184" s="496" t="s">
        <v>1621</v>
      </c>
      <c r="M184" s="42"/>
      <c r="N184" s="663"/>
      <c r="O184" s="17" t="s">
        <v>2173</v>
      </c>
      <c r="P184" s="42"/>
      <c r="Q184" s="38" t="s">
        <v>1547</v>
      </c>
      <c r="R184" s="38"/>
      <c r="S184" s="42" t="s">
        <v>1516</v>
      </c>
    </row>
    <row r="185" spans="1:19" s="44" customFormat="1" ht="16" customHeight="1" x14ac:dyDescent="0.2">
      <c r="A185" s="42"/>
      <c r="B185" s="41"/>
      <c r="C185" s="42" t="s">
        <v>486</v>
      </c>
      <c r="D185" s="42" t="s">
        <v>1579</v>
      </c>
      <c r="E185" s="42"/>
      <c r="F185" s="42"/>
      <c r="G185" s="42"/>
      <c r="H185" s="42"/>
      <c r="I185" s="42"/>
      <c r="J185" s="42"/>
      <c r="K185" s="42"/>
      <c r="L185" s="42" t="s">
        <v>2179</v>
      </c>
      <c r="M185" s="42"/>
      <c r="N185" s="663"/>
      <c r="O185" s="17" t="str">
        <f t="shared" ref="O185:O187" si="44">O184</f>
        <v>ACP5.04B</v>
      </c>
      <c r="P185" s="45"/>
      <c r="Q185" s="38" t="s">
        <v>1547</v>
      </c>
      <c r="R185" s="38"/>
      <c r="S185" s="42" t="s">
        <v>1593</v>
      </c>
    </row>
    <row r="186" spans="1:19" s="40" customFormat="1" ht="15.5" customHeight="1" x14ac:dyDescent="0.2">
      <c r="A186" s="45"/>
      <c r="B186" s="41"/>
      <c r="C186" s="42" t="s">
        <v>486</v>
      </c>
      <c r="D186" s="42" t="s">
        <v>1580</v>
      </c>
      <c r="E186" s="42"/>
      <c r="F186" s="42"/>
      <c r="G186" s="42"/>
      <c r="H186" s="42"/>
      <c r="I186" s="42"/>
      <c r="J186" s="42"/>
      <c r="K186" s="42"/>
      <c r="L186" s="42" t="s">
        <v>2179</v>
      </c>
      <c r="M186" s="129" t="s">
        <v>2180</v>
      </c>
      <c r="N186" s="663"/>
      <c r="O186" s="17" t="str">
        <f t="shared" si="44"/>
        <v>ACP5.04B</v>
      </c>
      <c r="P186" s="42"/>
      <c r="Q186" s="38" t="s">
        <v>1547</v>
      </c>
      <c r="R186" s="38"/>
      <c r="S186" s="42" t="s">
        <v>1594</v>
      </c>
    </row>
    <row r="187" spans="1:19" s="44" customFormat="1" ht="15.5" customHeight="1" x14ac:dyDescent="0.2">
      <c r="A187" s="42"/>
      <c r="B187" s="41"/>
      <c r="C187" s="42" t="s">
        <v>486</v>
      </c>
      <c r="D187" s="175"/>
      <c r="E187" s="42"/>
      <c r="F187" s="42"/>
      <c r="G187" s="175"/>
      <c r="H187" s="42"/>
      <c r="I187" s="42"/>
      <c r="J187" s="42"/>
      <c r="K187" s="42"/>
      <c r="L187" s="42"/>
      <c r="M187" s="42"/>
      <c r="N187" s="663"/>
      <c r="O187" s="17" t="str">
        <f t="shared" si="44"/>
        <v>ACP5.04B</v>
      </c>
      <c r="P187" s="42"/>
      <c r="Q187" s="38" t="s">
        <v>1547</v>
      </c>
      <c r="R187" s="38"/>
      <c r="S187" s="42"/>
    </row>
    <row r="188" spans="1:19" s="44" customFormat="1" ht="15.5" customHeight="1" x14ac:dyDescent="0.2">
      <c r="A188" s="42"/>
      <c r="B188" s="41"/>
      <c r="C188" s="42" t="s">
        <v>486</v>
      </c>
      <c r="D188" s="42" t="s">
        <v>1581</v>
      </c>
      <c r="E188" s="42"/>
      <c r="F188" s="42"/>
      <c r="G188" s="42"/>
      <c r="H188" s="42"/>
      <c r="I188" s="42"/>
      <c r="J188" s="42"/>
      <c r="K188" s="42"/>
      <c r="L188" s="496" t="s">
        <v>1582</v>
      </c>
      <c r="M188" s="42"/>
      <c r="N188" s="663"/>
      <c r="O188" s="17" t="s">
        <v>2174</v>
      </c>
      <c r="P188" s="42"/>
      <c r="Q188" s="38" t="s">
        <v>1547</v>
      </c>
      <c r="R188" s="38"/>
      <c r="S188" s="42" t="s">
        <v>1516</v>
      </c>
    </row>
    <row r="189" spans="1:19" s="44" customFormat="1" ht="16" customHeight="1" x14ac:dyDescent="0.2">
      <c r="A189" s="42"/>
      <c r="B189" s="41"/>
      <c r="C189" s="42" t="s">
        <v>486</v>
      </c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663"/>
      <c r="O189" s="17" t="str">
        <f t="shared" ref="O189:O191" si="45">O188</f>
        <v>ACP5.05B</v>
      </c>
      <c r="P189" s="45"/>
      <c r="Q189" s="38" t="s">
        <v>1547</v>
      </c>
      <c r="R189" s="38"/>
      <c r="S189" s="42" t="s">
        <v>1618</v>
      </c>
    </row>
    <row r="190" spans="1:19" s="40" customFormat="1" ht="15.5" customHeight="1" x14ac:dyDescent="0.2">
      <c r="A190" s="45"/>
      <c r="B190" s="41"/>
      <c r="C190" s="42" t="s">
        <v>486</v>
      </c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663"/>
      <c r="O190" s="17" t="str">
        <f t="shared" si="45"/>
        <v>ACP5.05B</v>
      </c>
      <c r="P190" s="42"/>
      <c r="Q190" s="38" t="s">
        <v>1547</v>
      </c>
      <c r="R190" s="38"/>
      <c r="S190" s="42"/>
    </row>
    <row r="191" spans="1:19" s="44" customFormat="1" ht="15.75" customHeight="1" x14ac:dyDescent="0.2">
      <c r="A191" s="42"/>
      <c r="B191" s="41"/>
      <c r="C191" s="42" t="s">
        <v>486</v>
      </c>
      <c r="D191" s="175"/>
      <c r="E191" s="42"/>
      <c r="F191" s="42"/>
      <c r="G191" s="175"/>
      <c r="H191" s="42"/>
      <c r="I191" s="42"/>
      <c r="J191" s="42"/>
      <c r="K191" s="42"/>
      <c r="L191" s="42"/>
      <c r="M191" s="42"/>
      <c r="N191" s="663"/>
      <c r="O191" s="17" t="str">
        <f t="shared" si="45"/>
        <v>ACP5.05B</v>
      </c>
      <c r="P191" s="42"/>
      <c r="Q191" s="38" t="s">
        <v>1547</v>
      </c>
      <c r="R191" s="38"/>
      <c r="S191" s="42"/>
    </row>
    <row r="192" spans="1:19" s="44" customFormat="1" ht="15.5" customHeight="1" x14ac:dyDescent="0.2">
      <c r="A192" s="42"/>
      <c r="B192" s="41"/>
      <c r="C192" s="42" t="s">
        <v>486</v>
      </c>
      <c r="D192" s="42" t="s">
        <v>1604</v>
      </c>
      <c r="E192" s="42" t="s">
        <v>1605</v>
      </c>
      <c r="F192" s="42"/>
      <c r="G192" s="42"/>
      <c r="H192" s="42"/>
      <c r="I192" s="42"/>
      <c r="J192" s="42"/>
      <c r="K192" s="42"/>
      <c r="L192" s="42" t="s">
        <v>2179</v>
      </c>
      <c r="M192" s="129" t="s">
        <v>2180</v>
      </c>
      <c r="N192" s="663"/>
      <c r="O192" s="17" t="s">
        <v>2175</v>
      </c>
      <c r="P192" s="42"/>
      <c r="Q192" s="38" t="s">
        <v>1547</v>
      </c>
      <c r="R192" s="38"/>
      <c r="S192" s="42" t="s">
        <v>771</v>
      </c>
    </row>
    <row r="193" spans="1:19" s="44" customFormat="1" ht="16" customHeight="1" x14ac:dyDescent="0.2">
      <c r="A193" s="42"/>
      <c r="B193" s="41"/>
      <c r="C193" s="42" t="s">
        <v>486</v>
      </c>
      <c r="D193" s="42" t="s">
        <v>1609</v>
      </c>
      <c r="E193" s="42" t="s">
        <v>1612</v>
      </c>
      <c r="F193" s="42"/>
      <c r="G193" s="42"/>
      <c r="H193" s="42"/>
      <c r="I193" s="42"/>
      <c r="J193" s="42"/>
      <c r="K193" s="42"/>
      <c r="L193" s="42" t="s">
        <v>2179</v>
      </c>
      <c r="M193" s="42"/>
      <c r="N193" s="663"/>
      <c r="O193" s="17" t="str">
        <f t="shared" ref="O193:O195" si="46">O192</f>
        <v>ACP5.06B</v>
      </c>
      <c r="P193" s="45"/>
      <c r="Q193" s="38" t="s">
        <v>1547</v>
      </c>
      <c r="R193" s="38"/>
      <c r="S193" s="42" t="s">
        <v>1106</v>
      </c>
    </row>
    <row r="194" spans="1:19" s="40" customFormat="1" ht="15.5" customHeight="1" x14ac:dyDescent="0.2">
      <c r="A194" s="45"/>
      <c r="B194" s="41"/>
      <c r="C194" s="42" t="s">
        <v>486</v>
      </c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663"/>
      <c r="O194" s="17" t="str">
        <f t="shared" si="46"/>
        <v>ACP5.06B</v>
      </c>
      <c r="P194" s="42"/>
      <c r="Q194" s="38" t="s">
        <v>1547</v>
      </c>
      <c r="R194" s="38"/>
      <c r="S194" s="42"/>
    </row>
    <row r="195" spans="1:19" s="44" customFormat="1" ht="15.5" customHeight="1" x14ac:dyDescent="0.2">
      <c r="A195" s="42"/>
      <c r="B195" s="41"/>
      <c r="C195" s="42" t="s">
        <v>486</v>
      </c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663"/>
      <c r="O195" s="17" t="str">
        <f t="shared" si="46"/>
        <v>ACP5.06B</v>
      </c>
      <c r="P195" s="42"/>
      <c r="Q195" s="38" t="s">
        <v>1547</v>
      </c>
      <c r="R195" s="38"/>
      <c r="S195" s="42"/>
    </row>
    <row r="198" spans="1:19" x14ac:dyDescent="0.2">
      <c r="L198" t="s">
        <v>160</v>
      </c>
      <c r="M198">
        <f>COUNTIF($L$2:$M$195,"BG HID")</f>
        <v>155</v>
      </c>
    </row>
    <row r="199" spans="1:19" x14ac:dyDescent="0.2">
      <c r="L199" t="s">
        <v>2414</v>
      </c>
      <c r="M199">
        <f>COUNTIF($L$3:$M$196,"BG HID rimosso")</f>
        <v>18</v>
      </c>
    </row>
    <row r="200" spans="1:19" x14ac:dyDescent="0.2">
      <c r="L200" t="s">
        <v>2415</v>
      </c>
      <c r="M200" s="710">
        <f>M198-M199</f>
        <v>137</v>
      </c>
    </row>
  </sheetData>
  <autoFilter ref="A1:S195" xr:uid="{5F5AA8B6-5C28-42EA-81DD-D65AD081635A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4A3C-D8FB-104C-B451-D002B652AA99}">
  <dimension ref="A1:S182"/>
  <sheetViews>
    <sheetView topLeftCell="F1" zoomScale="50" zoomScaleNormal="50" workbookViewId="0">
      <pane ySplit="1" topLeftCell="A111" activePane="bottomLeft" state="frozen"/>
      <selection pane="bottomLeft" activeCell="O116" sqref="O116"/>
    </sheetView>
  </sheetViews>
  <sheetFormatPr baseColWidth="10" defaultColWidth="11.1640625" defaultRowHeight="16" outlineLevelCol="1" x14ac:dyDescent="0.2"/>
  <cols>
    <col min="1" max="1" width="18.33203125" customWidth="1" outlineLevel="1"/>
    <col min="2" max="2" width="27.33203125" customWidth="1" outlineLevel="1"/>
    <col min="3" max="3" width="14" customWidth="1"/>
    <col min="4" max="4" width="16.83203125" style="130" customWidth="1"/>
    <col min="5" max="5" width="32.33203125" bestFit="1" customWidth="1"/>
    <col min="6" max="6" width="45.83203125" customWidth="1"/>
    <col min="7" max="7" width="38.33203125" customWidth="1" outlineLevel="1"/>
    <col min="8" max="8" width="49.5" customWidth="1" outlineLevel="1"/>
    <col min="9" max="10" width="33.1640625" style="130" customWidth="1" outlineLevel="1"/>
    <col min="11" max="11" width="11.1640625" style="130" customWidth="1" outlineLevel="1"/>
    <col min="12" max="12" width="15.33203125" customWidth="1"/>
    <col min="13" max="13" width="16.5" customWidth="1"/>
    <col min="14" max="14" width="26.1640625" customWidth="1"/>
    <col min="15" max="16" width="18.83203125" customWidth="1" outlineLevel="1"/>
    <col min="17" max="17" width="37.6640625" customWidth="1" outlineLevel="1"/>
    <col min="18" max="18" width="21.83203125" customWidth="1" outlineLevel="1"/>
    <col min="19" max="19" width="41.33203125" customWidth="1" outlineLevel="1"/>
  </cols>
  <sheetData>
    <row r="1" spans="1:19" s="65" customFormat="1" ht="97.25" customHeight="1" x14ac:dyDescent="0.2">
      <c r="A1" s="713" t="s">
        <v>1816</v>
      </c>
      <c r="B1" s="716" t="s">
        <v>2228</v>
      </c>
      <c r="C1" s="673" t="s">
        <v>2159</v>
      </c>
      <c r="D1" s="674" t="s">
        <v>150</v>
      </c>
      <c r="E1" s="675" t="s">
        <v>153</v>
      </c>
      <c r="F1" s="674" t="s">
        <v>2176</v>
      </c>
      <c r="G1" s="711" t="s">
        <v>2177</v>
      </c>
      <c r="H1" s="712" t="s">
        <v>2116</v>
      </c>
      <c r="I1" s="712" t="s">
        <v>2525</v>
      </c>
      <c r="J1" s="712" t="s">
        <v>2418</v>
      </c>
      <c r="K1" s="712" t="s">
        <v>1477</v>
      </c>
      <c r="L1" s="675" t="s">
        <v>151</v>
      </c>
      <c r="M1" s="675" t="s">
        <v>152</v>
      </c>
      <c r="N1" s="675" t="s">
        <v>2178</v>
      </c>
      <c r="O1" s="675" t="s">
        <v>2368</v>
      </c>
      <c r="P1" s="675" t="s">
        <v>2229</v>
      </c>
      <c r="Q1" s="675" t="s">
        <v>2359</v>
      </c>
      <c r="R1" s="675" t="s">
        <v>2189</v>
      </c>
      <c r="S1" s="675" t="s">
        <v>2507</v>
      </c>
    </row>
    <row r="2" spans="1:19" ht="16" customHeight="1" x14ac:dyDescent="0.2">
      <c r="A2" s="6"/>
      <c r="B2" s="13"/>
      <c r="C2" s="13" t="s">
        <v>485</v>
      </c>
      <c r="D2" s="13" t="s">
        <v>250</v>
      </c>
      <c r="E2" s="13" t="s">
        <v>445</v>
      </c>
      <c r="F2" s="13" t="s">
        <v>2232</v>
      </c>
      <c r="G2" s="13"/>
      <c r="H2" s="13"/>
      <c r="I2" s="12"/>
      <c r="J2" s="12"/>
      <c r="K2" s="6"/>
      <c r="L2" s="6"/>
      <c r="M2" s="681" t="s">
        <v>444</v>
      </c>
      <c r="N2" s="682"/>
      <c r="O2" s="17" t="s">
        <v>446</v>
      </c>
      <c r="P2" s="6"/>
      <c r="Q2" s="682"/>
      <c r="R2" s="681"/>
      <c r="S2" s="681" t="s">
        <v>444</v>
      </c>
    </row>
    <row r="3" spans="1:19" ht="17" x14ac:dyDescent="0.2">
      <c r="A3" s="6"/>
      <c r="B3" s="54" t="s">
        <v>953</v>
      </c>
      <c r="C3" s="13" t="s">
        <v>485</v>
      </c>
      <c r="D3" s="13" t="s">
        <v>252</v>
      </c>
      <c r="E3" s="13" t="s">
        <v>445</v>
      </c>
      <c r="F3" s="13" t="s">
        <v>2233</v>
      </c>
      <c r="G3" s="13"/>
      <c r="H3" s="13"/>
      <c r="I3" s="12"/>
      <c r="J3" s="12"/>
      <c r="K3" s="6"/>
      <c r="L3" s="13" t="s">
        <v>2351</v>
      </c>
      <c r="M3" s="13" t="s">
        <v>2351</v>
      </c>
      <c r="N3" s="6"/>
      <c r="O3" s="17" t="str">
        <f>O2</f>
        <v>ACP1.1</v>
      </c>
      <c r="P3" s="6"/>
      <c r="Q3" s="13" t="s">
        <v>447</v>
      </c>
      <c r="R3" s="92">
        <v>788891980</v>
      </c>
      <c r="S3" s="13" t="s">
        <v>630</v>
      </c>
    </row>
    <row r="4" spans="1:19" ht="16" customHeight="1" x14ac:dyDescent="0.2">
      <c r="A4" s="6"/>
      <c r="B4" s="13" t="s">
        <v>953</v>
      </c>
      <c r="C4" s="13" t="s">
        <v>485</v>
      </c>
      <c r="D4" s="13" t="s">
        <v>254</v>
      </c>
      <c r="E4" s="13" t="s">
        <v>445</v>
      </c>
      <c r="F4" s="13" t="s">
        <v>2234</v>
      </c>
      <c r="G4" s="13"/>
      <c r="H4" s="13"/>
      <c r="I4" s="12"/>
      <c r="J4" s="12"/>
      <c r="K4" s="6"/>
      <c r="L4" s="13" t="s">
        <v>2351</v>
      </c>
      <c r="M4" s="13" t="s">
        <v>2351</v>
      </c>
      <c r="N4" s="6"/>
      <c r="O4" s="17" t="str">
        <f>O3</f>
        <v>ACP1.1</v>
      </c>
      <c r="P4" s="6"/>
      <c r="Q4" s="13" t="s">
        <v>447</v>
      </c>
      <c r="R4" s="92">
        <v>542082683</v>
      </c>
      <c r="S4" s="13" t="s">
        <v>957</v>
      </c>
    </row>
    <row r="5" spans="1:19" ht="17" x14ac:dyDescent="0.2">
      <c r="A5" s="6"/>
      <c r="B5" s="13" t="s">
        <v>953</v>
      </c>
      <c r="C5" s="13" t="s">
        <v>485</v>
      </c>
      <c r="D5" s="13" t="s">
        <v>449</v>
      </c>
      <c r="E5" s="13" t="s">
        <v>450</v>
      </c>
      <c r="F5" s="13" t="s">
        <v>2235</v>
      </c>
      <c r="G5" s="13"/>
      <c r="H5" s="13"/>
      <c r="I5" s="12"/>
      <c r="J5" s="12"/>
      <c r="K5" s="6"/>
      <c r="L5" s="13" t="s">
        <v>2351</v>
      </c>
      <c r="M5" s="13" t="s">
        <v>2351</v>
      </c>
      <c r="N5" s="6"/>
      <c r="O5" s="17" t="str">
        <f>O4</f>
        <v>ACP1.1</v>
      </c>
      <c r="P5" s="6"/>
      <c r="Q5" s="13"/>
      <c r="R5" s="92"/>
      <c r="S5" s="13" t="s">
        <v>631</v>
      </c>
    </row>
    <row r="6" spans="1:19" ht="72.5" customHeight="1" x14ac:dyDescent="0.2">
      <c r="A6" s="6"/>
      <c r="B6" s="54" t="s">
        <v>953</v>
      </c>
      <c r="C6" s="13" t="s">
        <v>485</v>
      </c>
      <c r="D6" s="13" t="s">
        <v>451</v>
      </c>
      <c r="E6" s="719" t="s">
        <v>2453</v>
      </c>
      <c r="F6" s="38" t="s">
        <v>2432</v>
      </c>
      <c r="G6" s="13"/>
      <c r="H6" s="13"/>
      <c r="I6" s="702" t="s">
        <v>2443</v>
      </c>
      <c r="J6" s="717"/>
      <c r="K6" s="12"/>
      <c r="L6" s="683" t="s">
        <v>2352</v>
      </c>
      <c r="M6" s="26" t="s">
        <v>2351</v>
      </c>
      <c r="N6" s="6"/>
      <c r="O6" s="122" t="s">
        <v>257</v>
      </c>
      <c r="P6" s="17" t="s">
        <v>446</v>
      </c>
      <c r="Q6" s="13" t="s">
        <v>447</v>
      </c>
      <c r="R6" s="92">
        <v>788891574</v>
      </c>
      <c r="S6" s="12" t="s">
        <v>259</v>
      </c>
    </row>
    <row r="7" spans="1:19" ht="17" x14ac:dyDescent="0.2">
      <c r="A7" s="6"/>
      <c r="B7" s="54" t="s">
        <v>953</v>
      </c>
      <c r="C7" s="13" t="s">
        <v>485</v>
      </c>
      <c r="D7" s="13" t="s">
        <v>455</v>
      </c>
      <c r="E7" s="13" t="s">
        <v>959</v>
      </c>
      <c r="F7" s="13" t="s">
        <v>2236</v>
      </c>
      <c r="G7" s="13"/>
      <c r="H7" s="13"/>
      <c r="I7" s="12"/>
      <c r="J7" s="12"/>
      <c r="K7" s="6"/>
      <c r="L7" s="26" t="s">
        <v>2351</v>
      </c>
      <c r="M7" s="684" t="s">
        <v>2352</v>
      </c>
      <c r="N7" s="6"/>
      <c r="O7" s="122" t="str">
        <f>O6</f>
        <v>ACP1.2</v>
      </c>
      <c r="P7" s="17" t="s">
        <v>446</v>
      </c>
      <c r="Q7" s="13"/>
      <c r="R7" s="92"/>
      <c r="S7" s="12" t="s">
        <v>190</v>
      </c>
    </row>
    <row r="8" spans="1:19" ht="17" x14ac:dyDescent="0.2">
      <c r="A8" s="6"/>
      <c r="B8" s="685" t="s">
        <v>954</v>
      </c>
      <c r="C8" s="13" t="s">
        <v>485</v>
      </c>
      <c r="D8" s="13" t="s">
        <v>457</v>
      </c>
      <c r="E8" s="13" t="s">
        <v>959</v>
      </c>
      <c r="F8" s="13" t="s">
        <v>2237</v>
      </c>
      <c r="G8" s="13"/>
      <c r="H8" s="13"/>
      <c r="I8" s="12"/>
      <c r="J8" s="12"/>
      <c r="K8" s="6"/>
      <c r="L8" s="684" t="s">
        <v>2352</v>
      </c>
      <c r="M8" s="54" t="s">
        <v>2351</v>
      </c>
      <c r="N8" s="6"/>
      <c r="O8" s="122" t="str">
        <f>O7</f>
        <v>ACP1.2</v>
      </c>
      <c r="P8" s="17" t="s">
        <v>446</v>
      </c>
      <c r="Q8" s="13" t="s">
        <v>447</v>
      </c>
      <c r="R8" s="26">
        <v>788891562</v>
      </c>
      <c r="S8" s="13" t="s">
        <v>190</v>
      </c>
    </row>
    <row r="9" spans="1:19" ht="17" x14ac:dyDescent="0.2">
      <c r="A9" s="6"/>
      <c r="B9" s="13" t="s">
        <v>953</v>
      </c>
      <c r="C9" s="13" t="s">
        <v>485</v>
      </c>
      <c r="D9" s="13" t="s">
        <v>458</v>
      </c>
      <c r="E9" s="13" t="s">
        <v>958</v>
      </c>
      <c r="F9" s="13" t="s">
        <v>2238</v>
      </c>
      <c r="G9" s="13"/>
      <c r="H9" s="13"/>
      <c r="I9" s="12"/>
      <c r="J9" s="12"/>
      <c r="K9" s="6"/>
      <c r="L9" s="26"/>
      <c r="M9" s="26" t="s">
        <v>2351</v>
      </c>
      <c r="N9" s="6"/>
      <c r="O9" s="122" t="str">
        <f>O8</f>
        <v>ACP1.2</v>
      </c>
      <c r="P9" s="17" t="s">
        <v>446</v>
      </c>
      <c r="Q9" s="13" t="s">
        <v>447</v>
      </c>
      <c r="R9" s="92"/>
      <c r="S9" s="99" t="s">
        <v>259</v>
      </c>
    </row>
    <row r="10" spans="1:19" ht="16" customHeight="1" x14ac:dyDescent="0.2">
      <c r="A10" s="6"/>
      <c r="B10" s="54" t="s">
        <v>962</v>
      </c>
      <c r="C10" s="13" t="s">
        <v>485</v>
      </c>
      <c r="D10" s="13" t="s">
        <v>255</v>
      </c>
      <c r="E10" s="13" t="s">
        <v>445</v>
      </c>
      <c r="F10" s="13" t="s">
        <v>2239</v>
      </c>
      <c r="G10" s="13"/>
      <c r="H10" s="13"/>
      <c r="I10" s="12"/>
      <c r="J10" s="12"/>
      <c r="K10" s="6"/>
      <c r="L10" s="683" t="s">
        <v>2352</v>
      </c>
      <c r="M10" s="26" t="s">
        <v>2351</v>
      </c>
      <c r="N10" s="6"/>
      <c r="O10" s="122" t="s">
        <v>265</v>
      </c>
      <c r="P10" s="17" t="s">
        <v>446</v>
      </c>
      <c r="Q10" s="13" t="s">
        <v>447</v>
      </c>
      <c r="R10" s="92">
        <v>788891956</v>
      </c>
      <c r="S10" s="99" t="s">
        <v>453</v>
      </c>
    </row>
    <row r="11" spans="1:19" ht="17" x14ac:dyDescent="0.2">
      <c r="A11" s="6"/>
      <c r="B11" s="54" t="s">
        <v>962</v>
      </c>
      <c r="C11" s="13" t="s">
        <v>485</v>
      </c>
      <c r="D11" s="13" t="s">
        <v>256</v>
      </c>
      <c r="E11" s="13" t="s">
        <v>460</v>
      </c>
      <c r="F11" s="13" t="s">
        <v>2240</v>
      </c>
      <c r="G11" s="13"/>
      <c r="H11" s="13"/>
      <c r="I11" s="12"/>
      <c r="J11" s="12"/>
      <c r="K11" s="6"/>
      <c r="L11" s="684" t="s">
        <v>2352</v>
      </c>
      <c r="M11" s="26" t="s">
        <v>2351</v>
      </c>
      <c r="N11" s="6"/>
      <c r="O11" s="122" t="str">
        <f>O10</f>
        <v>ACP1.3</v>
      </c>
      <c r="P11" s="17" t="s">
        <v>446</v>
      </c>
      <c r="Q11" s="13" t="s">
        <v>447</v>
      </c>
      <c r="R11" s="92"/>
      <c r="S11" s="99" t="s">
        <v>190</v>
      </c>
    </row>
    <row r="12" spans="1:19" ht="17" x14ac:dyDescent="0.2">
      <c r="A12" s="6"/>
      <c r="B12" s="13" t="s">
        <v>953</v>
      </c>
      <c r="C12" s="13" t="s">
        <v>485</v>
      </c>
      <c r="D12" s="13" t="s">
        <v>258</v>
      </c>
      <c r="E12" s="13" t="s">
        <v>461</v>
      </c>
      <c r="F12" s="13" t="s">
        <v>2241</v>
      </c>
      <c r="G12" s="13"/>
      <c r="H12" s="13"/>
      <c r="I12" s="12"/>
      <c r="J12" s="12"/>
      <c r="K12" s="6"/>
      <c r="L12" s="26" t="s">
        <v>2352</v>
      </c>
      <c r="M12" s="54" t="s">
        <v>2351</v>
      </c>
      <c r="N12" s="6"/>
      <c r="O12" s="122" t="str">
        <f>O11</f>
        <v>ACP1.3</v>
      </c>
      <c r="P12" s="17" t="s">
        <v>446</v>
      </c>
      <c r="Q12" s="13" t="s">
        <v>447</v>
      </c>
      <c r="R12" s="26">
        <v>788897966</v>
      </c>
      <c r="S12" s="13" t="s">
        <v>259</v>
      </c>
    </row>
    <row r="13" spans="1:19" ht="17" x14ac:dyDescent="0.2">
      <c r="A13" s="6"/>
      <c r="B13" s="13" t="s">
        <v>953</v>
      </c>
      <c r="C13" s="13" t="s">
        <v>485</v>
      </c>
      <c r="D13" s="13" t="s">
        <v>260</v>
      </c>
      <c r="E13" s="13" t="s">
        <v>461</v>
      </c>
      <c r="F13" s="13" t="s">
        <v>2242</v>
      </c>
      <c r="G13" s="13"/>
      <c r="H13" s="13"/>
      <c r="I13" s="12"/>
      <c r="J13" s="12"/>
      <c r="K13" s="6"/>
      <c r="L13" s="26" t="s">
        <v>2351</v>
      </c>
      <c r="M13" s="26" t="s">
        <v>2351</v>
      </c>
      <c r="N13" s="6"/>
      <c r="O13" s="122" t="str">
        <f>O12</f>
        <v>ACP1.3</v>
      </c>
      <c r="P13" s="17" t="s">
        <v>446</v>
      </c>
      <c r="Q13" s="13" t="s">
        <v>447</v>
      </c>
      <c r="R13" s="92">
        <v>788891971</v>
      </c>
      <c r="S13" s="99" t="s">
        <v>304</v>
      </c>
    </row>
    <row r="14" spans="1:19" ht="16" customHeight="1" x14ac:dyDescent="0.2">
      <c r="A14" s="6"/>
      <c r="B14" s="54" t="s">
        <v>953</v>
      </c>
      <c r="C14" s="13" t="s">
        <v>485</v>
      </c>
      <c r="D14" s="13" t="s">
        <v>261</v>
      </c>
      <c r="E14" s="13" t="s">
        <v>461</v>
      </c>
      <c r="F14" s="13" t="s">
        <v>2243</v>
      </c>
      <c r="G14" s="13"/>
      <c r="H14" s="13"/>
      <c r="I14" s="12"/>
      <c r="J14" s="12"/>
      <c r="K14" s="6"/>
      <c r="L14" s="683" t="s">
        <v>2352</v>
      </c>
      <c r="M14" s="26" t="s">
        <v>2351</v>
      </c>
      <c r="N14" s="6"/>
      <c r="O14" s="122" t="s">
        <v>271</v>
      </c>
      <c r="P14" s="17" t="s">
        <v>446</v>
      </c>
      <c r="Q14" s="13" t="s">
        <v>447</v>
      </c>
      <c r="R14" s="92">
        <v>788897962</v>
      </c>
      <c r="S14" s="99" t="s">
        <v>259</v>
      </c>
    </row>
    <row r="15" spans="1:19" ht="17" x14ac:dyDescent="0.2">
      <c r="A15" s="6"/>
      <c r="B15" s="54" t="s">
        <v>953</v>
      </c>
      <c r="C15" s="13" t="s">
        <v>485</v>
      </c>
      <c r="D15" s="13" t="s">
        <v>263</v>
      </c>
      <c r="E15" s="13" t="s">
        <v>462</v>
      </c>
      <c r="F15" s="13" t="s">
        <v>2244</v>
      </c>
      <c r="G15" s="13"/>
      <c r="H15" s="13"/>
      <c r="I15" s="12"/>
      <c r="J15" s="12"/>
      <c r="K15" s="6"/>
      <c r="L15" s="684" t="s">
        <v>2352</v>
      </c>
      <c r="M15" s="26" t="s">
        <v>2351</v>
      </c>
      <c r="N15" s="6"/>
      <c r="O15" s="122" t="s">
        <v>271</v>
      </c>
      <c r="P15" s="17" t="s">
        <v>446</v>
      </c>
      <c r="Q15" s="13" t="s">
        <v>447</v>
      </c>
      <c r="R15" s="92"/>
      <c r="S15" s="12" t="s">
        <v>190</v>
      </c>
    </row>
    <row r="16" spans="1:19" ht="17" x14ac:dyDescent="0.2">
      <c r="A16" s="6"/>
      <c r="B16" s="13" t="s">
        <v>953</v>
      </c>
      <c r="C16" s="13" t="s">
        <v>485</v>
      </c>
      <c r="D16" s="13" t="s">
        <v>264</v>
      </c>
      <c r="E16" s="13" t="s">
        <v>461</v>
      </c>
      <c r="F16" s="13" t="s">
        <v>2245</v>
      </c>
      <c r="G16" s="13"/>
      <c r="H16" s="13"/>
      <c r="I16" s="12"/>
      <c r="J16" s="12"/>
      <c r="K16" s="6"/>
      <c r="L16" s="26" t="s">
        <v>2351</v>
      </c>
      <c r="M16" s="54" t="s">
        <v>2351</v>
      </c>
      <c r="N16" s="6"/>
      <c r="O16" s="122" t="s">
        <v>271</v>
      </c>
      <c r="P16" s="17" t="s">
        <v>446</v>
      </c>
      <c r="Q16" s="13" t="s">
        <v>447</v>
      </c>
      <c r="R16" s="26">
        <v>788897968</v>
      </c>
      <c r="S16" s="13" t="s">
        <v>304</v>
      </c>
    </row>
    <row r="17" spans="1:19" ht="17" x14ac:dyDescent="0.2">
      <c r="A17" s="6"/>
      <c r="B17" s="13" t="s">
        <v>953</v>
      </c>
      <c r="C17" s="13" t="s">
        <v>485</v>
      </c>
      <c r="D17" s="13" t="s">
        <v>266</v>
      </c>
      <c r="E17" s="13" t="s">
        <v>461</v>
      </c>
      <c r="F17" s="13" t="s">
        <v>2246</v>
      </c>
      <c r="G17" s="13"/>
      <c r="H17" s="13"/>
      <c r="I17" s="12"/>
      <c r="J17" s="12"/>
      <c r="K17" s="6"/>
      <c r="L17" s="26" t="s">
        <v>2351</v>
      </c>
      <c r="M17" s="26" t="s">
        <v>2351</v>
      </c>
      <c r="N17" s="6"/>
      <c r="O17" s="122" t="s">
        <v>271</v>
      </c>
      <c r="P17" s="17" t="s">
        <v>446</v>
      </c>
      <c r="Q17" s="13" t="s">
        <v>447</v>
      </c>
      <c r="R17" s="92">
        <v>788892008</v>
      </c>
      <c r="S17" s="99" t="s">
        <v>304</v>
      </c>
    </row>
    <row r="18" spans="1:19" ht="16" customHeight="1" x14ac:dyDescent="0.2">
      <c r="A18" s="6"/>
      <c r="B18" s="54" t="s">
        <v>953</v>
      </c>
      <c r="C18" s="13" t="s">
        <v>485</v>
      </c>
      <c r="D18" s="13" t="s">
        <v>267</v>
      </c>
      <c r="E18" s="13" t="s">
        <v>463</v>
      </c>
      <c r="F18" s="13" t="s">
        <v>2247</v>
      </c>
      <c r="G18" s="13"/>
      <c r="H18" s="13"/>
      <c r="I18" s="12"/>
      <c r="J18" s="12"/>
      <c r="K18" s="6"/>
      <c r="L18" s="683" t="s">
        <v>2352</v>
      </c>
      <c r="M18" s="26" t="s">
        <v>2351</v>
      </c>
      <c r="N18" s="6"/>
      <c r="O18" s="122" t="s">
        <v>464</v>
      </c>
      <c r="P18" s="17" t="s">
        <v>446</v>
      </c>
      <c r="Q18" s="685" t="s">
        <v>1973</v>
      </c>
      <c r="R18" s="92">
        <v>788897992</v>
      </c>
      <c r="S18" s="99" t="s">
        <v>1974</v>
      </c>
    </row>
    <row r="19" spans="1:19" ht="17" x14ac:dyDescent="0.2">
      <c r="A19" s="6"/>
      <c r="B19" s="54" t="s">
        <v>963</v>
      </c>
      <c r="C19" s="13" t="s">
        <v>485</v>
      </c>
      <c r="D19" s="13" t="s">
        <v>268</v>
      </c>
      <c r="E19" s="13" t="s">
        <v>463</v>
      </c>
      <c r="F19" s="13" t="s">
        <v>2248</v>
      </c>
      <c r="G19" s="13"/>
      <c r="H19" s="13"/>
      <c r="I19" s="12"/>
      <c r="J19" s="12"/>
      <c r="K19" s="6"/>
      <c r="L19" s="684" t="s">
        <v>2352</v>
      </c>
      <c r="M19" s="26" t="s">
        <v>2351</v>
      </c>
      <c r="N19" s="6"/>
      <c r="O19" s="122" t="str">
        <f>O18</f>
        <v>ACP1.5</v>
      </c>
      <c r="P19" s="17" t="s">
        <v>446</v>
      </c>
      <c r="Q19" s="13" t="s">
        <v>447</v>
      </c>
      <c r="R19" s="92"/>
      <c r="S19" s="99" t="s">
        <v>456</v>
      </c>
    </row>
    <row r="20" spans="1:19" ht="17" x14ac:dyDescent="0.2">
      <c r="A20" s="6"/>
      <c r="B20" s="13" t="s">
        <v>955</v>
      </c>
      <c r="C20" s="13" t="s">
        <v>485</v>
      </c>
      <c r="D20" s="13" t="s">
        <v>270</v>
      </c>
      <c r="E20" s="13" t="s">
        <v>463</v>
      </c>
      <c r="F20" s="13" t="s">
        <v>2249</v>
      </c>
      <c r="G20" s="13"/>
      <c r="H20" s="13"/>
      <c r="I20" s="12"/>
      <c r="J20" s="12"/>
      <c r="K20" s="6"/>
      <c r="L20" s="26" t="s">
        <v>2351</v>
      </c>
      <c r="M20" s="54" t="s">
        <v>2351</v>
      </c>
      <c r="N20" s="6"/>
      <c r="O20" s="122" t="str">
        <f>O19</f>
        <v>ACP1.5</v>
      </c>
      <c r="P20" s="17" t="s">
        <v>446</v>
      </c>
      <c r="Q20" s="13" t="s">
        <v>447</v>
      </c>
      <c r="R20" s="26">
        <v>788891979</v>
      </c>
      <c r="S20" s="13" t="s">
        <v>961</v>
      </c>
    </row>
    <row r="21" spans="1:19" ht="17" x14ac:dyDescent="0.2">
      <c r="A21" s="6"/>
      <c r="B21" s="13" t="s">
        <v>956</v>
      </c>
      <c r="C21" s="13" t="s">
        <v>485</v>
      </c>
      <c r="D21" s="13" t="s">
        <v>272</v>
      </c>
      <c r="E21" s="13" t="s">
        <v>463</v>
      </c>
      <c r="F21" s="13" t="s">
        <v>2250</v>
      </c>
      <c r="G21" s="13"/>
      <c r="H21" s="13"/>
      <c r="I21" s="12"/>
      <c r="J21" s="12"/>
      <c r="K21" s="6"/>
      <c r="L21" s="26" t="s">
        <v>2351</v>
      </c>
      <c r="M21" s="26" t="s">
        <v>2351</v>
      </c>
      <c r="N21" s="6"/>
      <c r="O21" s="122" t="str">
        <f>O20</f>
        <v>ACP1.5</v>
      </c>
      <c r="P21" s="17" t="s">
        <v>446</v>
      </c>
      <c r="Q21" s="13" t="s">
        <v>447</v>
      </c>
      <c r="R21" s="92">
        <v>788891982</v>
      </c>
      <c r="S21" s="99" t="s">
        <v>629</v>
      </c>
    </row>
    <row r="22" spans="1:19" ht="16" customHeight="1" x14ac:dyDescent="0.2">
      <c r="A22" s="6"/>
      <c r="B22" s="13" t="s">
        <v>953</v>
      </c>
      <c r="C22" s="13" t="s">
        <v>485</v>
      </c>
      <c r="D22" s="13" t="s">
        <v>273</v>
      </c>
      <c r="E22" s="13" t="s">
        <v>465</v>
      </c>
      <c r="F22" s="13" t="s">
        <v>2251</v>
      </c>
      <c r="G22" s="13"/>
      <c r="H22" s="13"/>
      <c r="I22" s="12"/>
      <c r="J22" s="12"/>
      <c r="K22" s="6"/>
      <c r="L22" s="683" t="s">
        <v>2352</v>
      </c>
      <c r="M22" s="26" t="s">
        <v>2351</v>
      </c>
      <c r="N22" s="6"/>
      <c r="O22" s="122" t="s">
        <v>466</v>
      </c>
      <c r="P22" s="17" t="s">
        <v>446</v>
      </c>
      <c r="Q22" s="13" t="s">
        <v>447</v>
      </c>
      <c r="R22" s="92">
        <v>788892000</v>
      </c>
      <c r="S22" s="99" t="s">
        <v>453</v>
      </c>
    </row>
    <row r="23" spans="1:19" ht="17" x14ac:dyDescent="0.2">
      <c r="A23" s="6"/>
      <c r="B23" s="54" t="s">
        <v>953</v>
      </c>
      <c r="C23" s="13" t="s">
        <v>485</v>
      </c>
      <c r="D23" s="13" t="s">
        <v>276</v>
      </c>
      <c r="E23" s="13" t="s">
        <v>467</v>
      </c>
      <c r="F23" s="13" t="s">
        <v>2252</v>
      </c>
      <c r="G23" s="13"/>
      <c r="H23" s="13"/>
      <c r="I23" s="12"/>
      <c r="J23" s="12"/>
      <c r="K23" s="6"/>
      <c r="L23" s="684" t="s">
        <v>2352</v>
      </c>
      <c r="M23" s="26" t="s">
        <v>2351</v>
      </c>
      <c r="N23" s="6"/>
      <c r="O23" s="122" t="s">
        <v>466</v>
      </c>
      <c r="P23" s="17" t="s">
        <v>446</v>
      </c>
      <c r="Q23" s="13" t="s">
        <v>447</v>
      </c>
      <c r="R23" s="92"/>
      <c r="S23" s="99" t="s">
        <v>456</v>
      </c>
    </row>
    <row r="24" spans="1:19" ht="17" x14ac:dyDescent="0.2">
      <c r="A24" s="6"/>
      <c r="B24" s="54" t="s">
        <v>953</v>
      </c>
      <c r="C24" s="13" t="s">
        <v>485</v>
      </c>
      <c r="D24" s="13" t="s">
        <v>274</v>
      </c>
      <c r="E24" s="13" t="s">
        <v>463</v>
      </c>
      <c r="F24" s="13" t="s">
        <v>2253</v>
      </c>
      <c r="G24" s="13"/>
      <c r="H24" s="13"/>
      <c r="I24" s="12"/>
      <c r="J24" s="12"/>
      <c r="K24" s="6"/>
      <c r="L24" s="26" t="s">
        <v>2351</v>
      </c>
      <c r="M24" s="26" t="s">
        <v>2351</v>
      </c>
      <c r="N24" s="6"/>
      <c r="O24" s="122" t="s">
        <v>466</v>
      </c>
      <c r="P24" s="17" t="s">
        <v>446</v>
      </c>
      <c r="Q24" s="13" t="s">
        <v>447</v>
      </c>
      <c r="R24" s="26">
        <v>788892005</v>
      </c>
      <c r="S24" s="13" t="s">
        <v>448</v>
      </c>
    </row>
    <row r="25" spans="1:19" ht="119" x14ac:dyDescent="0.2">
      <c r="A25" s="122" t="s">
        <v>2494</v>
      </c>
      <c r="B25" s="6"/>
      <c r="C25" s="13" t="s">
        <v>485</v>
      </c>
      <c r="D25" s="13" t="s">
        <v>277</v>
      </c>
      <c r="E25" s="668" t="s">
        <v>2346</v>
      </c>
      <c r="F25" s="38" t="s">
        <v>2433</v>
      </c>
      <c r="G25" s="646" t="s">
        <v>2363</v>
      </c>
      <c r="H25" s="692" t="s">
        <v>2360</v>
      </c>
      <c r="I25" s="702" t="s">
        <v>2443</v>
      </c>
      <c r="J25" s="718"/>
      <c r="K25" s="12"/>
      <c r="L25" s="26" t="s">
        <v>2351</v>
      </c>
      <c r="M25" s="26" t="s">
        <v>2351</v>
      </c>
      <c r="N25" s="6"/>
      <c r="O25" s="122" t="s">
        <v>466</v>
      </c>
      <c r="P25" s="17" t="s">
        <v>446</v>
      </c>
      <c r="Q25" s="13" t="s">
        <v>447</v>
      </c>
      <c r="R25" s="92">
        <v>788891491</v>
      </c>
      <c r="S25" s="99" t="s">
        <v>961</v>
      </c>
    </row>
    <row r="26" spans="1:19" ht="130.25" customHeight="1" x14ac:dyDescent="0.2">
      <c r="A26" s="50" t="s">
        <v>2493</v>
      </c>
      <c r="B26" s="724" t="s">
        <v>2495</v>
      </c>
      <c r="C26" s="13" t="s">
        <v>485</v>
      </c>
      <c r="D26" s="13" t="s">
        <v>281</v>
      </c>
      <c r="E26" s="38" t="s">
        <v>2381</v>
      </c>
      <c r="F26" s="38" t="s">
        <v>2388</v>
      </c>
      <c r="G26" s="646" t="s">
        <v>2384</v>
      </c>
      <c r="H26" s="692" t="s">
        <v>2386</v>
      </c>
      <c r="I26" s="12"/>
      <c r="J26" s="12"/>
      <c r="K26" s="6"/>
      <c r="L26" s="13" t="s">
        <v>2351</v>
      </c>
      <c r="M26" s="129" t="s">
        <v>2352</v>
      </c>
      <c r="N26" s="6"/>
      <c r="O26" s="17" t="s">
        <v>689</v>
      </c>
      <c r="P26" s="6"/>
      <c r="Q26" s="13" t="s">
        <v>114</v>
      </c>
      <c r="R26" s="50">
        <v>542082674</v>
      </c>
      <c r="S26" s="99" t="s">
        <v>190</v>
      </c>
    </row>
    <row r="27" spans="1:19" ht="17" x14ac:dyDescent="0.2">
      <c r="A27" s="6"/>
      <c r="B27" s="54"/>
      <c r="C27" s="13" t="s">
        <v>485</v>
      </c>
      <c r="D27" s="13" t="s">
        <v>1781</v>
      </c>
      <c r="E27" s="13" t="s">
        <v>1845</v>
      </c>
      <c r="F27" s="13" t="s">
        <v>2254</v>
      </c>
      <c r="G27" s="13"/>
      <c r="H27" s="45"/>
      <c r="I27" s="12"/>
      <c r="J27" s="12"/>
      <c r="K27" s="6"/>
      <c r="L27" s="129" t="s">
        <v>2352</v>
      </c>
      <c r="M27" s="686" t="s">
        <v>49</v>
      </c>
      <c r="N27" s="6"/>
      <c r="O27" s="17" t="s">
        <v>689</v>
      </c>
      <c r="P27" s="6"/>
      <c r="Q27" s="54"/>
      <c r="R27" s="50"/>
      <c r="S27" s="12" t="s">
        <v>1852</v>
      </c>
    </row>
    <row r="28" spans="1:19" ht="17" x14ac:dyDescent="0.2">
      <c r="A28" s="6"/>
      <c r="B28" s="13"/>
      <c r="C28" s="13" t="s">
        <v>485</v>
      </c>
      <c r="D28" s="42"/>
      <c r="E28" s="13"/>
      <c r="F28" s="13" t="s">
        <v>2255</v>
      </c>
      <c r="G28" s="13"/>
      <c r="H28" s="45"/>
      <c r="I28" s="12"/>
      <c r="J28" s="12"/>
      <c r="K28" s="6"/>
      <c r="L28" s="13"/>
      <c r="M28" s="13"/>
      <c r="N28" s="6"/>
      <c r="O28" s="17" t="s">
        <v>689</v>
      </c>
      <c r="P28" s="6"/>
      <c r="Q28" s="187"/>
      <c r="R28" s="50"/>
      <c r="S28" s="99"/>
    </row>
    <row r="29" spans="1:19" ht="17" x14ac:dyDescent="0.2">
      <c r="A29" s="6"/>
      <c r="B29" s="13"/>
      <c r="C29" s="13" t="s">
        <v>485</v>
      </c>
      <c r="D29" s="13"/>
      <c r="E29" s="13"/>
      <c r="F29" s="13" t="s">
        <v>2255</v>
      </c>
      <c r="G29" s="13"/>
      <c r="H29" s="45"/>
      <c r="I29" s="12"/>
      <c r="J29" s="12"/>
      <c r="K29" s="6"/>
      <c r="L29" s="13"/>
      <c r="M29" s="298"/>
      <c r="N29" s="6"/>
      <c r="O29" s="17" t="s">
        <v>689</v>
      </c>
      <c r="P29" s="6"/>
      <c r="Q29" s="13"/>
      <c r="R29" s="50"/>
      <c r="S29" s="51"/>
    </row>
    <row r="30" spans="1:19" ht="102" x14ac:dyDescent="0.2">
      <c r="A30" s="50" t="s">
        <v>2493</v>
      </c>
      <c r="B30" s="724" t="s">
        <v>2495</v>
      </c>
      <c r="C30" s="13" t="s">
        <v>485</v>
      </c>
      <c r="D30" s="13" t="s">
        <v>290</v>
      </c>
      <c r="E30" s="38" t="s">
        <v>2382</v>
      </c>
      <c r="F30" s="38" t="s">
        <v>2389</v>
      </c>
      <c r="G30" s="646" t="s">
        <v>2385</v>
      </c>
      <c r="H30" s="692" t="s">
        <v>2387</v>
      </c>
      <c r="I30" s="12"/>
      <c r="J30" s="12"/>
      <c r="K30" s="6"/>
      <c r="L30" s="13" t="s">
        <v>2351</v>
      </c>
      <c r="M30" s="129" t="s">
        <v>2352</v>
      </c>
      <c r="N30" s="6"/>
      <c r="O30" s="122" t="s">
        <v>286</v>
      </c>
      <c r="P30" s="17" t="s">
        <v>689</v>
      </c>
      <c r="Q30" s="54" t="s">
        <v>447</v>
      </c>
      <c r="R30" s="50"/>
      <c r="S30" s="99" t="s">
        <v>190</v>
      </c>
    </row>
    <row r="31" spans="1:19" ht="17" x14ac:dyDescent="0.2">
      <c r="A31" s="6"/>
      <c r="B31" s="54"/>
      <c r="C31" s="13" t="s">
        <v>485</v>
      </c>
      <c r="D31" s="13"/>
      <c r="E31" s="13"/>
      <c r="F31" s="13" t="s">
        <v>2255</v>
      </c>
      <c r="G31" s="13"/>
      <c r="H31" s="45"/>
      <c r="I31" s="12"/>
      <c r="J31" s="12"/>
      <c r="K31" s="6"/>
      <c r="L31" s="13"/>
      <c r="M31" s="5"/>
      <c r="N31" s="6"/>
      <c r="O31" s="122" t="s">
        <v>286</v>
      </c>
      <c r="P31" s="17" t="s">
        <v>689</v>
      </c>
      <c r="Q31" s="13" t="s">
        <v>447</v>
      </c>
      <c r="R31" s="50"/>
      <c r="S31" s="51"/>
    </row>
    <row r="32" spans="1:19" ht="17" x14ac:dyDescent="0.2">
      <c r="A32" s="6"/>
      <c r="B32" s="13"/>
      <c r="C32" s="13" t="s">
        <v>485</v>
      </c>
      <c r="D32" s="13"/>
      <c r="E32" s="13"/>
      <c r="F32" s="13" t="s">
        <v>2255</v>
      </c>
      <c r="G32" s="13"/>
      <c r="H32" s="45"/>
      <c r="I32" s="12"/>
      <c r="J32" s="12"/>
      <c r="K32" s="6"/>
      <c r="L32" s="13"/>
      <c r="M32" s="13"/>
      <c r="N32" s="6"/>
      <c r="O32" s="122" t="s">
        <v>286</v>
      </c>
      <c r="P32" s="17" t="s">
        <v>689</v>
      </c>
      <c r="Q32" s="13" t="s">
        <v>447</v>
      </c>
      <c r="R32" s="50"/>
      <c r="S32" s="99"/>
    </row>
    <row r="33" spans="1:19" ht="17" x14ac:dyDescent="0.2">
      <c r="A33" s="6"/>
      <c r="B33" s="13"/>
      <c r="C33" s="13" t="s">
        <v>485</v>
      </c>
      <c r="D33" s="13"/>
      <c r="E33" s="13"/>
      <c r="F33" s="13" t="s">
        <v>2255</v>
      </c>
      <c r="G33" s="13"/>
      <c r="H33" s="45"/>
      <c r="I33" s="12"/>
      <c r="J33" s="12"/>
      <c r="K33" s="6"/>
      <c r="L33" s="13"/>
      <c r="M33" s="298"/>
      <c r="N33" s="6"/>
      <c r="O33" s="122" t="s">
        <v>286</v>
      </c>
      <c r="P33" s="17" t="s">
        <v>689</v>
      </c>
      <c r="Q33" s="13" t="s">
        <v>447</v>
      </c>
      <c r="R33" s="50"/>
      <c r="S33" s="51"/>
    </row>
    <row r="34" spans="1:19" ht="16" customHeight="1" x14ac:dyDescent="0.2">
      <c r="A34" s="6"/>
      <c r="B34" s="13" t="s">
        <v>1855</v>
      </c>
      <c r="C34" s="13" t="s">
        <v>485</v>
      </c>
      <c r="D34" s="13" t="s">
        <v>292</v>
      </c>
      <c r="E34" s="13" t="s">
        <v>1857</v>
      </c>
      <c r="F34" s="13" t="s">
        <v>2256</v>
      </c>
      <c r="G34" s="13"/>
      <c r="H34" s="13"/>
      <c r="I34" s="12"/>
      <c r="J34" s="12"/>
      <c r="K34" s="6"/>
      <c r="L34" s="13" t="s">
        <v>2351</v>
      </c>
      <c r="M34" s="12"/>
      <c r="N34" s="6"/>
      <c r="O34" s="122" t="s">
        <v>287</v>
      </c>
      <c r="P34" s="17" t="s">
        <v>689</v>
      </c>
      <c r="Q34" s="13" t="s">
        <v>447</v>
      </c>
      <c r="R34" s="50">
        <v>788895455</v>
      </c>
      <c r="S34" s="99" t="s">
        <v>190</v>
      </c>
    </row>
    <row r="35" spans="1:19" ht="17" x14ac:dyDescent="0.2">
      <c r="A35" s="6"/>
      <c r="B35" s="54"/>
      <c r="C35" s="13" t="s">
        <v>485</v>
      </c>
      <c r="D35" s="13"/>
      <c r="E35" s="13"/>
      <c r="F35" s="13" t="s">
        <v>2255</v>
      </c>
      <c r="G35" s="13"/>
      <c r="H35" s="45"/>
      <c r="I35" s="12"/>
      <c r="J35" s="12"/>
      <c r="K35" s="6"/>
      <c r="L35" s="13"/>
      <c r="M35" s="26"/>
      <c r="N35" s="6"/>
      <c r="O35" s="122" t="s">
        <v>287</v>
      </c>
      <c r="P35" s="17" t="s">
        <v>689</v>
      </c>
      <c r="Q35" s="13" t="s">
        <v>447</v>
      </c>
      <c r="R35" s="50"/>
      <c r="S35" s="51"/>
    </row>
    <row r="36" spans="1:19" ht="17" x14ac:dyDescent="0.2">
      <c r="A36" s="6"/>
      <c r="B36" s="13"/>
      <c r="C36" s="13" t="s">
        <v>485</v>
      </c>
      <c r="D36" s="13"/>
      <c r="E36" s="13"/>
      <c r="F36" s="13" t="s">
        <v>2255</v>
      </c>
      <c r="G36" s="13"/>
      <c r="H36" s="45"/>
      <c r="I36" s="12"/>
      <c r="J36" s="12"/>
      <c r="K36" s="6"/>
      <c r="L36" s="13"/>
      <c r="M36" s="13"/>
      <c r="N36" s="6"/>
      <c r="O36" s="122" t="s">
        <v>287</v>
      </c>
      <c r="P36" s="17" t="s">
        <v>689</v>
      </c>
      <c r="Q36" s="13" t="s">
        <v>447</v>
      </c>
      <c r="R36" s="50"/>
      <c r="S36" s="99"/>
    </row>
    <row r="37" spans="1:19" ht="17" x14ac:dyDescent="0.2">
      <c r="A37" s="6"/>
      <c r="B37" s="13"/>
      <c r="C37" s="13" t="s">
        <v>485</v>
      </c>
      <c r="D37" s="13"/>
      <c r="E37" s="13"/>
      <c r="F37" s="13" t="s">
        <v>2255</v>
      </c>
      <c r="G37" s="13"/>
      <c r="H37" s="45"/>
      <c r="I37" s="12"/>
      <c r="J37" s="12"/>
      <c r="K37" s="6"/>
      <c r="L37" s="13"/>
      <c r="M37" s="298"/>
      <c r="N37" s="6"/>
      <c r="O37" s="122" t="s">
        <v>287</v>
      </c>
      <c r="P37" s="17" t="s">
        <v>689</v>
      </c>
      <c r="Q37" s="13" t="s">
        <v>447</v>
      </c>
      <c r="R37" s="50"/>
      <c r="S37" s="51"/>
    </row>
    <row r="38" spans="1:19" ht="16" customHeight="1" x14ac:dyDescent="0.2">
      <c r="A38" s="6"/>
      <c r="B38" s="13"/>
      <c r="C38" s="13" t="s">
        <v>485</v>
      </c>
      <c r="D38" s="13"/>
      <c r="E38" s="13" t="s">
        <v>1856</v>
      </c>
      <c r="F38" s="13" t="s">
        <v>2255</v>
      </c>
      <c r="G38" s="13"/>
      <c r="H38" s="13"/>
      <c r="I38" s="12"/>
      <c r="J38" s="12"/>
      <c r="K38" s="6"/>
      <c r="L38" s="13"/>
      <c r="M38" s="12"/>
      <c r="N38" s="6"/>
      <c r="O38" s="122" t="s">
        <v>1017</v>
      </c>
      <c r="P38" s="17" t="s">
        <v>689</v>
      </c>
      <c r="Q38" s="13" t="s">
        <v>447</v>
      </c>
      <c r="R38" s="50"/>
      <c r="S38" s="99" t="s">
        <v>190</v>
      </c>
    </row>
    <row r="39" spans="1:19" ht="17" x14ac:dyDescent="0.2">
      <c r="A39" s="6"/>
      <c r="B39" s="54"/>
      <c r="C39" s="13" t="s">
        <v>485</v>
      </c>
      <c r="D39" s="13"/>
      <c r="E39" s="13"/>
      <c r="F39" s="13" t="s">
        <v>2255</v>
      </c>
      <c r="G39" s="13"/>
      <c r="H39" s="45"/>
      <c r="I39" s="12"/>
      <c r="J39" s="12"/>
      <c r="K39" s="6"/>
      <c r="L39" s="13"/>
      <c r="M39" s="5"/>
      <c r="N39" s="6"/>
      <c r="O39" s="122" t="s">
        <v>1017</v>
      </c>
      <c r="P39" s="17" t="s">
        <v>689</v>
      </c>
      <c r="Q39" s="13" t="s">
        <v>447</v>
      </c>
      <c r="R39" s="50"/>
      <c r="S39" s="51"/>
    </row>
    <row r="40" spans="1:19" ht="17" x14ac:dyDescent="0.2">
      <c r="A40" s="6"/>
      <c r="B40" s="13"/>
      <c r="C40" s="13" t="s">
        <v>485</v>
      </c>
      <c r="D40" s="13"/>
      <c r="E40" s="13"/>
      <c r="F40" s="13" t="s">
        <v>2255</v>
      </c>
      <c r="G40" s="13"/>
      <c r="H40" s="45"/>
      <c r="I40" s="12"/>
      <c r="J40" s="12"/>
      <c r="K40" s="6"/>
      <c r="L40" s="13"/>
      <c r="M40" s="13"/>
      <c r="N40" s="6"/>
      <c r="O40" s="122" t="s">
        <v>1017</v>
      </c>
      <c r="P40" s="17" t="s">
        <v>689</v>
      </c>
      <c r="Q40" s="13" t="s">
        <v>447</v>
      </c>
      <c r="R40" s="50"/>
      <c r="S40" s="99"/>
    </row>
    <row r="41" spans="1:19" ht="17" x14ac:dyDescent="0.2">
      <c r="A41" s="6"/>
      <c r="B41" s="13"/>
      <c r="C41" s="13" t="s">
        <v>485</v>
      </c>
      <c r="D41" s="13"/>
      <c r="E41" s="13"/>
      <c r="F41" s="13" t="s">
        <v>2255</v>
      </c>
      <c r="G41" s="13"/>
      <c r="H41" s="45"/>
      <c r="I41" s="12"/>
      <c r="J41" s="12"/>
      <c r="K41" s="6"/>
      <c r="L41" s="13"/>
      <c r="M41" s="298"/>
      <c r="N41" s="6"/>
      <c r="O41" s="122" t="s">
        <v>1017</v>
      </c>
      <c r="P41" s="17" t="s">
        <v>689</v>
      </c>
      <c r="Q41" s="13" t="s">
        <v>447</v>
      </c>
      <c r="R41" s="50"/>
      <c r="S41" s="51"/>
    </row>
    <row r="42" spans="1:19" ht="16" customHeight="1" x14ac:dyDescent="0.2">
      <c r="A42" s="6"/>
      <c r="B42" s="13" t="s">
        <v>1443</v>
      </c>
      <c r="C42" s="13" t="s">
        <v>485</v>
      </c>
      <c r="D42" s="13" t="s">
        <v>250</v>
      </c>
      <c r="E42" s="13"/>
      <c r="F42" s="13" t="s">
        <v>2232</v>
      </c>
      <c r="G42" s="13"/>
      <c r="H42" s="13"/>
      <c r="I42" s="12"/>
      <c r="J42" s="12"/>
      <c r="K42" s="6"/>
      <c r="L42" s="129" t="s">
        <v>2352</v>
      </c>
      <c r="M42" s="13" t="s">
        <v>2351</v>
      </c>
      <c r="N42" s="6"/>
      <c r="O42" s="17" t="s">
        <v>1322</v>
      </c>
      <c r="P42" s="6"/>
      <c r="Q42" s="13" t="s">
        <v>114</v>
      </c>
      <c r="R42" s="50" t="s">
        <v>1338</v>
      </c>
      <c r="S42" s="99" t="s">
        <v>190</v>
      </c>
    </row>
    <row r="43" spans="1:19" ht="34" x14ac:dyDescent="0.2">
      <c r="A43" s="6"/>
      <c r="B43" s="13" t="s">
        <v>1443</v>
      </c>
      <c r="C43" s="13" t="s">
        <v>485</v>
      </c>
      <c r="D43" s="13" t="s">
        <v>166</v>
      </c>
      <c r="E43" s="13"/>
      <c r="F43" s="13" t="s">
        <v>2257</v>
      </c>
      <c r="G43" s="13"/>
      <c r="H43" s="13"/>
      <c r="I43" s="12"/>
      <c r="J43" s="12"/>
      <c r="K43" s="6"/>
      <c r="L43" s="129" t="s">
        <v>2352</v>
      </c>
      <c r="M43" s="13" t="s">
        <v>2351</v>
      </c>
      <c r="N43" s="6"/>
      <c r="O43" s="17" t="s">
        <v>1322</v>
      </c>
      <c r="P43" s="6"/>
      <c r="Q43" s="13" t="s">
        <v>114</v>
      </c>
      <c r="R43" s="50"/>
      <c r="S43" s="13" t="s">
        <v>221</v>
      </c>
    </row>
    <row r="44" spans="1:19" ht="34" x14ac:dyDescent="0.2">
      <c r="A44" s="6"/>
      <c r="B44" s="13" t="s">
        <v>1446</v>
      </c>
      <c r="C44" s="13" t="s">
        <v>485</v>
      </c>
      <c r="D44" s="13" t="s">
        <v>163</v>
      </c>
      <c r="E44" s="13"/>
      <c r="F44" s="13" t="s">
        <v>2258</v>
      </c>
      <c r="G44" s="13"/>
      <c r="H44" s="13"/>
      <c r="I44" s="12"/>
      <c r="J44" s="12"/>
      <c r="K44" s="6"/>
      <c r="L44" s="129" t="s">
        <v>2352</v>
      </c>
      <c r="M44" s="64" t="s">
        <v>49</v>
      </c>
      <c r="N44" s="6"/>
      <c r="O44" s="17" t="s">
        <v>1322</v>
      </c>
      <c r="P44" s="6"/>
      <c r="Q44" s="13" t="s">
        <v>114</v>
      </c>
      <c r="R44" s="50"/>
      <c r="S44" s="12" t="s">
        <v>951</v>
      </c>
    </row>
    <row r="45" spans="1:19" ht="34" x14ac:dyDescent="0.2">
      <c r="A45" s="6"/>
      <c r="B45" s="13" t="s">
        <v>1443</v>
      </c>
      <c r="C45" s="13" t="s">
        <v>485</v>
      </c>
      <c r="D45" s="13" t="s">
        <v>175</v>
      </c>
      <c r="E45" s="13"/>
      <c r="F45" s="13" t="s">
        <v>2259</v>
      </c>
      <c r="G45" s="13"/>
      <c r="H45" s="13"/>
      <c r="I45" s="12"/>
      <c r="J45" s="12"/>
      <c r="K45" s="6"/>
      <c r="L45" s="129" t="s">
        <v>2352</v>
      </c>
      <c r="M45" s="13" t="s">
        <v>2351</v>
      </c>
      <c r="N45" s="6"/>
      <c r="O45" s="17" t="s">
        <v>1322</v>
      </c>
      <c r="P45" s="6"/>
      <c r="Q45" s="355" t="s">
        <v>1321</v>
      </c>
      <c r="R45" s="50"/>
      <c r="S45" s="12" t="s">
        <v>253</v>
      </c>
    </row>
    <row r="46" spans="1:19" ht="16" customHeight="1" x14ac:dyDescent="0.2">
      <c r="A46" s="6"/>
      <c r="B46" s="13" t="s">
        <v>1443</v>
      </c>
      <c r="C46" s="13" t="s">
        <v>485</v>
      </c>
      <c r="D46" s="13" t="s">
        <v>159</v>
      </c>
      <c r="E46" s="13"/>
      <c r="F46" s="13" t="s">
        <v>2260</v>
      </c>
      <c r="G46" s="13"/>
      <c r="H46" s="13"/>
      <c r="I46" s="12"/>
      <c r="J46" s="12"/>
      <c r="K46" s="6"/>
      <c r="L46" s="129" t="s">
        <v>2352</v>
      </c>
      <c r="M46" s="13" t="s">
        <v>2351</v>
      </c>
      <c r="N46" s="6"/>
      <c r="O46" s="122" t="s">
        <v>171</v>
      </c>
      <c r="P46" s="17" t="s">
        <v>2230</v>
      </c>
      <c r="Q46" s="13" t="s">
        <v>447</v>
      </c>
      <c r="R46" s="50">
        <v>788891504</v>
      </c>
      <c r="S46" s="99" t="s">
        <v>190</v>
      </c>
    </row>
    <row r="47" spans="1:19" ht="17" x14ac:dyDescent="0.2">
      <c r="A47" s="6"/>
      <c r="B47" s="13" t="s">
        <v>1443</v>
      </c>
      <c r="C47" s="13" t="s">
        <v>485</v>
      </c>
      <c r="D47" s="13" t="s">
        <v>181</v>
      </c>
      <c r="E47" s="13"/>
      <c r="F47" s="13" t="s">
        <v>2261</v>
      </c>
      <c r="G47" s="13"/>
      <c r="H47" s="13"/>
      <c r="I47" s="12"/>
      <c r="J47" s="12"/>
      <c r="K47" s="6"/>
      <c r="L47" s="5"/>
      <c r="M47" s="64" t="s">
        <v>49</v>
      </c>
      <c r="N47" s="6"/>
      <c r="O47" s="122" t="s">
        <v>171</v>
      </c>
      <c r="P47" s="17" t="s">
        <v>2230</v>
      </c>
      <c r="Q47" s="13" t="s">
        <v>447</v>
      </c>
      <c r="R47" s="50"/>
      <c r="S47" s="12" t="s">
        <v>1444</v>
      </c>
    </row>
    <row r="48" spans="1:19" ht="17" x14ac:dyDescent="0.2">
      <c r="A48" s="6"/>
      <c r="B48" s="13" t="s">
        <v>1443</v>
      </c>
      <c r="C48" s="13" t="s">
        <v>485</v>
      </c>
      <c r="D48" s="13" t="s">
        <v>179</v>
      </c>
      <c r="E48" s="13"/>
      <c r="F48" s="13" t="s">
        <v>2262</v>
      </c>
      <c r="G48" s="13"/>
      <c r="H48" s="13"/>
      <c r="I48" s="12"/>
      <c r="J48" s="12"/>
      <c r="K48" s="6"/>
      <c r="L48" s="368"/>
      <c r="M48" s="64" t="s">
        <v>49</v>
      </c>
      <c r="N48" s="6"/>
      <c r="O48" s="122" t="s">
        <v>171</v>
      </c>
      <c r="P48" s="17" t="s">
        <v>2230</v>
      </c>
      <c r="Q48" s="13" t="s">
        <v>447</v>
      </c>
      <c r="R48" s="50"/>
      <c r="S48" s="12" t="s">
        <v>2019</v>
      </c>
    </row>
    <row r="49" spans="1:19" ht="17" x14ac:dyDescent="0.2">
      <c r="A49" s="6"/>
      <c r="B49" s="13" t="s">
        <v>1445</v>
      </c>
      <c r="C49" s="13" t="s">
        <v>485</v>
      </c>
      <c r="D49" s="13" t="s">
        <v>198</v>
      </c>
      <c r="E49" s="13"/>
      <c r="F49" s="13" t="s">
        <v>2263</v>
      </c>
      <c r="G49" s="13"/>
      <c r="H49" s="13"/>
      <c r="I49" s="12"/>
      <c r="J49" s="12"/>
      <c r="K49" s="6"/>
      <c r="L49" s="368"/>
      <c r="M49" s="64" t="s">
        <v>49</v>
      </c>
      <c r="N49" s="6"/>
      <c r="O49" s="122" t="s">
        <v>171</v>
      </c>
      <c r="P49" s="17" t="s">
        <v>2230</v>
      </c>
      <c r="Q49" s="13" t="s">
        <v>447</v>
      </c>
      <c r="R49" s="50"/>
      <c r="S49" s="12" t="s">
        <v>2018</v>
      </c>
    </row>
    <row r="50" spans="1:19" ht="16" customHeight="1" x14ac:dyDescent="0.2">
      <c r="A50" s="6"/>
      <c r="B50" s="13"/>
      <c r="C50" s="13" t="s">
        <v>485</v>
      </c>
      <c r="D50" s="13"/>
      <c r="E50" s="13"/>
      <c r="F50" s="13" t="s">
        <v>2255</v>
      </c>
      <c r="G50" s="13"/>
      <c r="H50" s="13"/>
      <c r="I50" s="12"/>
      <c r="J50" s="12"/>
      <c r="K50" s="6"/>
      <c r="L50" s="13"/>
      <c r="M50" s="13"/>
      <c r="N50" s="6"/>
      <c r="O50" s="122" t="s">
        <v>178</v>
      </c>
      <c r="P50" s="17" t="s">
        <v>2230</v>
      </c>
      <c r="Q50" s="13" t="s">
        <v>447</v>
      </c>
      <c r="R50" s="50"/>
      <c r="S50" s="99"/>
    </row>
    <row r="51" spans="1:19" ht="17" x14ac:dyDescent="0.2">
      <c r="A51" s="6"/>
      <c r="B51" s="13"/>
      <c r="C51" s="13" t="s">
        <v>485</v>
      </c>
      <c r="D51" s="13"/>
      <c r="E51" s="13"/>
      <c r="F51" s="13" t="s">
        <v>2255</v>
      </c>
      <c r="G51" s="13"/>
      <c r="H51" s="13"/>
      <c r="I51" s="12"/>
      <c r="J51" s="12"/>
      <c r="K51" s="6"/>
      <c r="L51" s="5"/>
      <c r="M51" s="13" t="s">
        <v>1330</v>
      </c>
      <c r="N51" s="6"/>
      <c r="O51" s="122" t="s">
        <v>178</v>
      </c>
      <c r="P51" s="17" t="s">
        <v>2230</v>
      </c>
      <c r="Q51" s="13" t="s">
        <v>447</v>
      </c>
      <c r="R51" s="54"/>
      <c r="S51" s="13"/>
    </row>
    <row r="52" spans="1:19" ht="17" x14ac:dyDescent="0.2">
      <c r="A52" s="6"/>
      <c r="B52" s="13"/>
      <c r="C52" s="13" t="s">
        <v>485</v>
      </c>
      <c r="D52" s="13"/>
      <c r="E52" s="13"/>
      <c r="F52" s="13" t="s">
        <v>2255</v>
      </c>
      <c r="G52" s="13"/>
      <c r="H52" s="13"/>
      <c r="I52" s="12"/>
      <c r="J52" s="12"/>
      <c r="K52" s="6"/>
      <c r="L52" s="368"/>
      <c r="M52" s="13"/>
      <c r="N52" s="6"/>
      <c r="O52" s="122" t="s">
        <v>178</v>
      </c>
      <c r="P52" s="17" t="s">
        <v>2230</v>
      </c>
      <c r="Q52" s="13" t="s">
        <v>447</v>
      </c>
      <c r="R52" s="50"/>
      <c r="S52" s="188"/>
    </row>
    <row r="53" spans="1:19" ht="17" x14ac:dyDescent="0.2">
      <c r="A53" s="6"/>
      <c r="B53" s="13"/>
      <c r="C53" s="13" t="s">
        <v>485</v>
      </c>
      <c r="D53" s="13"/>
      <c r="E53" s="13"/>
      <c r="F53" s="13" t="s">
        <v>2255</v>
      </c>
      <c r="G53" s="13"/>
      <c r="H53" s="13"/>
      <c r="I53" s="12"/>
      <c r="J53" s="12"/>
      <c r="K53" s="6"/>
      <c r="L53" s="368"/>
      <c r="M53" s="13"/>
      <c r="N53" s="6"/>
      <c r="O53" s="122" t="s">
        <v>178</v>
      </c>
      <c r="P53" s="17" t="s">
        <v>2230</v>
      </c>
      <c r="Q53" s="13" t="s">
        <v>447</v>
      </c>
      <c r="R53" s="50"/>
      <c r="S53" s="51"/>
    </row>
    <row r="54" spans="1:19" ht="16" customHeight="1" x14ac:dyDescent="0.2">
      <c r="A54" s="6"/>
      <c r="B54" s="26" t="s">
        <v>1466</v>
      </c>
      <c r="C54" s="13" t="s">
        <v>485</v>
      </c>
      <c r="D54" s="13" t="s">
        <v>1310</v>
      </c>
      <c r="E54" s="13"/>
      <c r="F54" s="13" t="s">
        <v>2264</v>
      </c>
      <c r="G54" s="13"/>
      <c r="H54" s="13"/>
      <c r="I54" s="12"/>
      <c r="J54" s="12"/>
      <c r="K54" s="6"/>
      <c r="L54" s="129" t="s">
        <v>2352</v>
      </c>
      <c r="M54" s="13" t="s">
        <v>2351</v>
      </c>
      <c r="N54" s="6"/>
      <c r="O54" s="122" t="s">
        <v>742</v>
      </c>
      <c r="P54" s="17" t="s">
        <v>2230</v>
      </c>
      <c r="Q54" s="13" t="s">
        <v>447</v>
      </c>
      <c r="R54" s="50">
        <v>1500</v>
      </c>
      <c r="S54" s="99" t="s">
        <v>190</v>
      </c>
    </row>
    <row r="55" spans="1:19" ht="17" x14ac:dyDescent="0.2">
      <c r="A55" s="6"/>
      <c r="B55" s="13" t="s">
        <v>1460</v>
      </c>
      <c r="C55" s="13" t="s">
        <v>485</v>
      </c>
      <c r="D55" s="13" t="s">
        <v>1334</v>
      </c>
      <c r="E55" s="13" t="s">
        <v>1327</v>
      </c>
      <c r="F55" s="13" t="s">
        <v>2265</v>
      </c>
      <c r="G55" s="13"/>
      <c r="H55" s="13"/>
      <c r="I55" s="12"/>
      <c r="J55" s="12"/>
      <c r="K55" s="6"/>
      <c r="L55" s="129" t="s">
        <v>2352</v>
      </c>
      <c r="M55" s="13" t="s">
        <v>2351</v>
      </c>
      <c r="N55" s="6"/>
      <c r="O55" s="122" t="s">
        <v>742</v>
      </c>
      <c r="P55" s="17" t="s">
        <v>2230</v>
      </c>
      <c r="Q55" s="13" t="s">
        <v>447</v>
      </c>
      <c r="R55" s="50">
        <v>1500</v>
      </c>
      <c r="S55" s="13" t="s">
        <v>1463</v>
      </c>
    </row>
    <row r="56" spans="1:19" ht="17" x14ac:dyDescent="0.2">
      <c r="A56" s="6"/>
      <c r="B56" s="13" t="s">
        <v>1458</v>
      </c>
      <c r="C56" s="13" t="s">
        <v>485</v>
      </c>
      <c r="D56" s="13" t="s">
        <v>1311</v>
      </c>
      <c r="E56" s="13"/>
      <c r="F56" s="13" t="s">
        <v>2266</v>
      </c>
      <c r="G56" s="13"/>
      <c r="H56" s="13"/>
      <c r="I56" s="12"/>
      <c r="J56" s="12"/>
      <c r="K56" s="6"/>
      <c r="L56" s="45"/>
      <c r="M56" s="13" t="s">
        <v>2351</v>
      </c>
      <c r="N56" s="6"/>
      <c r="O56" s="122" t="s">
        <v>742</v>
      </c>
      <c r="P56" s="17" t="s">
        <v>2230</v>
      </c>
      <c r="Q56" s="13" t="s">
        <v>447</v>
      </c>
      <c r="R56" s="50">
        <v>1505</v>
      </c>
      <c r="S56" s="12" t="s">
        <v>190</v>
      </c>
    </row>
    <row r="57" spans="1:19" ht="22.75" customHeight="1" x14ac:dyDescent="0.2">
      <c r="A57" s="6"/>
      <c r="B57" s="298" t="s">
        <v>1462</v>
      </c>
      <c r="C57" s="13" t="s">
        <v>485</v>
      </c>
      <c r="D57" s="13" t="s">
        <v>1459</v>
      </c>
      <c r="E57" s="13" t="s">
        <v>1461</v>
      </c>
      <c r="F57" s="13" t="s">
        <v>2267</v>
      </c>
      <c r="G57" s="13"/>
      <c r="H57" s="13"/>
      <c r="I57" s="12"/>
      <c r="J57" s="12"/>
      <c r="K57" s="6"/>
      <c r="L57" s="368"/>
      <c r="M57" s="13" t="s">
        <v>2351</v>
      </c>
      <c r="N57" s="6"/>
      <c r="O57" s="122" t="s">
        <v>742</v>
      </c>
      <c r="P57" s="17" t="s">
        <v>2230</v>
      </c>
      <c r="Q57" s="13" t="s">
        <v>447</v>
      </c>
      <c r="R57" s="50">
        <v>1505</v>
      </c>
      <c r="S57" s="12" t="s">
        <v>259</v>
      </c>
    </row>
    <row r="58" spans="1:19" ht="16" customHeight="1" x14ac:dyDescent="0.2">
      <c r="A58" s="6"/>
      <c r="B58" s="13" t="s">
        <v>1454</v>
      </c>
      <c r="C58" s="13" t="s">
        <v>485</v>
      </c>
      <c r="D58" s="13" t="s">
        <v>1300</v>
      </c>
      <c r="E58" s="13"/>
      <c r="F58" s="13" t="s">
        <v>2268</v>
      </c>
      <c r="G58" s="13"/>
      <c r="H58" s="13"/>
      <c r="I58" s="12"/>
      <c r="J58" s="12"/>
      <c r="K58" s="6"/>
      <c r="L58" s="129" t="s">
        <v>2352</v>
      </c>
      <c r="M58" s="13" t="s">
        <v>2351</v>
      </c>
      <c r="N58" s="6"/>
      <c r="O58" s="122" t="s">
        <v>741</v>
      </c>
      <c r="P58" s="17" t="s">
        <v>2230</v>
      </c>
      <c r="Q58" s="13" t="s">
        <v>447</v>
      </c>
      <c r="R58" s="50">
        <v>1493</v>
      </c>
      <c r="S58" s="99" t="s">
        <v>190</v>
      </c>
    </row>
    <row r="59" spans="1:19" ht="17" x14ac:dyDescent="0.2">
      <c r="A59" s="6"/>
      <c r="B59" s="13" t="s">
        <v>1470</v>
      </c>
      <c r="C59" s="13" t="s">
        <v>485</v>
      </c>
      <c r="D59" s="13" t="s">
        <v>1301</v>
      </c>
      <c r="E59" s="13" t="s">
        <v>1328</v>
      </c>
      <c r="F59" s="13" t="s">
        <v>2269</v>
      </c>
      <c r="G59" s="13"/>
      <c r="H59" s="13"/>
      <c r="I59" s="12"/>
      <c r="J59" s="12"/>
      <c r="K59" s="6"/>
      <c r="L59" s="129" t="s">
        <v>2352</v>
      </c>
      <c r="M59" s="13" t="s">
        <v>2351</v>
      </c>
      <c r="N59" s="6"/>
      <c r="O59" s="122" t="s">
        <v>741</v>
      </c>
      <c r="P59" s="17" t="s">
        <v>2230</v>
      </c>
      <c r="Q59" s="13" t="s">
        <v>447</v>
      </c>
      <c r="R59" s="50">
        <v>1493</v>
      </c>
      <c r="S59" s="13" t="s">
        <v>259</v>
      </c>
    </row>
    <row r="60" spans="1:19" ht="17" x14ac:dyDescent="0.2">
      <c r="A60" s="6"/>
      <c r="B60" s="13" t="s">
        <v>1445</v>
      </c>
      <c r="C60" s="13" t="s">
        <v>485</v>
      </c>
      <c r="D60" s="13" t="s">
        <v>1302</v>
      </c>
      <c r="E60" s="13" t="s">
        <v>1329</v>
      </c>
      <c r="F60" s="13" t="s">
        <v>2270</v>
      </c>
      <c r="G60" s="13"/>
      <c r="H60" s="13"/>
      <c r="I60" s="12"/>
      <c r="J60" s="12"/>
      <c r="K60" s="6"/>
      <c r="L60" s="129" t="s">
        <v>2352</v>
      </c>
      <c r="M60" s="13" t="s">
        <v>2351</v>
      </c>
      <c r="N60" s="6"/>
      <c r="O60" s="122" t="s">
        <v>741</v>
      </c>
      <c r="P60" s="17" t="s">
        <v>2230</v>
      </c>
      <c r="Q60" s="13" t="s">
        <v>447</v>
      </c>
      <c r="R60" s="50">
        <v>1515</v>
      </c>
      <c r="S60" s="12" t="s">
        <v>190</v>
      </c>
    </row>
    <row r="61" spans="1:19" ht="17" x14ac:dyDescent="0.2">
      <c r="A61" s="6"/>
      <c r="B61" s="13" t="s">
        <v>1445</v>
      </c>
      <c r="C61" s="13" t="s">
        <v>485</v>
      </c>
      <c r="D61" s="13" t="s">
        <v>1303</v>
      </c>
      <c r="E61" s="13"/>
      <c r="F61" s="13" t="s">
        <v>2271</v>
      </c>
      <c r="G61" s="13"/>
      <c r="H61" s="13"/>
      <c r="I61" s="12"/>
      <c r="J61" s="12"/>
      <c r="K61" s="6"/>
      <c r="L61" s="13"/>
      <c r="M61" s="13" t="s">
        <v>2351</v>
      </c>
      <c r="N61" s="6"/>
      <c r="O61" s="122" t="s">
        <v>741</v>
      </c>
      <c r="P61" s="17" t="s">
        <v>2230</v>
      </c>
      <c r="Q61" s="13" t="s">
        <v>447</v>
      </c>
      <c r="R61" s="50">
        <v>1515</v>
      </c>
      <c r="S61" s="12" t="s">
        <v>259</v>
      </c>
    </row>
    <row r="62" spans="1:19" ht="17" x14ac:dyDescent="0.2">
      <c r="A62" s="6"/>
      <c r="B62" s="687" t="s">
        <v>1964</v>
      </c>
      <c r="C62" s="13" t="s">
        <v>485</v>
      </c>
      <c r="D62" s="188" t="s">
        <v>1965</v>
      </c>
      <c r="E62" s="13"/>
      <c r="F62" s="13" t="s">
        <v>2272</v>
      </c>
      <c r="G62" s="13"/>
      <c r="H62" s="13"/>
      <c r="I62" s="12"/>
      <c r="J62" s="12"/>
      <c r="K62" s="6"/>
      <c r="L62" s="26" t="s">
        <v>2353</v>
      </c>
      <c r="M62" s="13"/>
      <c r="N62" s="6"/>
      <c r="O62" s="122"/>
      <c r="P62" s="17" t="s">
        <v>2230</v>
      </c>
      <c r="Q62" s="13"/>
      <c r="R62" s="50">
        <v>788895262</v>
      </c>
      <c r="S62" s="12" t="s">
        <v>1903</v>
      </c>
    </row>
    <row r="63" spans="1:19" ht="17" x14ac:dyDescent="0.2">
      <c r="A63" s="6"/>
      <c r="B63" s="687"/>
      <c r="C63" s="13" t="s">
        <v>485</v>
      </c>
      <c r="D63" s="188" t="s">
        <v>1971</v>
      </c>
      <c r="E63" s="13"/>
      <c r="F63" s="13" t="s">
        <v>2273</v>
      </c>
      <c r="G63" s="13"/>
      <c r="H63" s="13"/>
      <c r="I63" s="12"/>
      <c r="J63" s="12"/>
      <c r="K63" s="6"/>
      <c r="L63" s="13"/>
      <c r="M63" s="13"/>
      <c r="N63" s="6"/>
      <c r="O63" s="122"/>
      <c r="P63" s="17" t="s">
        <v>2230</v>
      </c>
      <c r="Q63" s="13"/>
      <c r="R63" s="50"/>
      <c r="S63" s="12" t="s">
        <v>1972</v>
      </c>
    </row>
    <row r="64" spans="1:19" ht="16" customHeight="1" x14ac:dyDescent="0.2">
      <c r="A64" s="6"/>
      <c r="B64" s="13" t="s">
        <v>1443</v>
      </c>
      <c r="C64" s="13" t="s">
        <v>485</v>
      </c>
      <c r="D64" s="13" t="s">
        <v>1304</v>
      </c>
      <c r="E64" s="13"/>
      <c r="F64" s="13" t="s">
        <v>2274</v>
      </c>
      <c r="G64" s="13"/>
      <c r="H64" s="13"/>
      <c r="I64" s="12"/>
      <c r="J64" s="12"/>
      <c r="K64" s="6"/>
      <c r="L64" s="129" t="s">
        <v>2352</v>
      </c>
      <c r="M64" s="13" t="s">
        <v>2351</v>
      </c>
      <c r="N64" s="6"/>
      <c r="O64" s="122" t="s">
        <v>1299</v>
      </c>
      <c r="P64" s="17" t="s">
        <v>2230</v>
      </c>
      <c r="Q64" s="13" t="s">
        <v>447</v>
      </c>
      <c r="R64" s="50">
        <v>1494</v>
      </c>
      <c r="S64" s="99" t="s">
        <v>190</v>
      </c>
    </row>
    <row r="65" spans="1:19" ht="17" x14ac:dyDescent="0.2">
      <c r="A65" s="6"/>
      <c r="B65" s="13" t="s">
        <v>1445</v>
      </c>
      <c r="C65" s="13" t="s">
        <v>485</v>
      </c>
      <c r="D65" s="13" t="s">
        <v>1305</v>
      </c>
      <c r="E65" s="13"/>
      <c r="F65" s="13" t="s">
        <v>2275</v>
      </c>
      <c r="G65" s="13"/>
      <c r="H65" s="13"/>
      <c r="I65" s="12"/>
      <c r="J65" s="12"/>
      <c r="K65" s="6"/>
      <c r="L65" s="129" t="s">
        <v>2352</v>
      </c>
      <c r="M65" s="13" t="s">
        <v>2351</v>
      </c>
      <c r="N65" s="6"/>
      <c r="O65" s="122" t="s">
        <v>1299</v>
      </c>
      <c r="P65" s="17" t="s">
        <v>2230</v>
      </c>
      <c r="Q65" s="13" t="s">
        <v>447</v>
      </c>
      <c r="R65" s="50">
        <v>1494</v>
      </c>
      <c r="S65" s="13" t="s">
        <v>259</v>
      </c>
    </row>
    <row r="66" spans="1:19" ht="17" x14ac:dyDescent="0.2">
      <c r="A66" s="6"/>
      <c r="B66" s="13" t="s">
        <v>1445</v>
      </c>
      <c r="C66" s="13" t="s">
        <v>485</v>
      </c>
      <c r="D66" s="13" t="s">
        <v>1968</v>
      </c>
      <c r="E66" s="13"/>
      <c r="F66" s="13" t="s">
        <v>2276</v>
      </c>
      <c r="G66" s="13"/>
      <c r="H66" s="13"/>
      <c r="I66" s="12"/>
      <c r="J66" s="12"/>
      <c r="K66" s="6"/>
      <c r="L66" s="129" t="s">
        <v>2352</v>
      </c>
      <c r="M66" s="13" t="s">
        <v>2351</v>
      </c>
      <c r="N66" s="6"/>
      <c r="O66" s="122" t="s">
        <v>1299</v>
      </c>
      <c r="P66" s="17" t="s">
        <v>2230</v>
      </c>
      <c r="Q66" s="13" t="s">
        <v>447</v>
      </c>
      <c r="R66" s="50">
        <v>1495</v>
      </c>
      <c r="S66" s="12" t="s">
        <v>190</v>
      </c>
    </row>
    <row r="67" spans="1:19" ht="17" x14ac:dyDescent="0.2">
      <c r="A67" s="6"/>
      <c r="B67" s="13" t="s">
        <v>1967</v>
      </c>
      <c r="C67" s="13" t="s">
        <v>485</v>
      </c>
      <c r="D67" s="13" t="s">
        <v>1966</v>
      </c>
      <c r="E67" s="13"/>
      <c r="F67" s="13" t="s">
        <v>2277</v>
      </c>
      <c r="G67" s="13"/>
      <c r="H67" s="13"/>
      <c r="I67" s="12"/>
      <c r="J67" s="12"/>
      <c r="K67" s="6"/>
      <c r="L67" s="13"/>
      <c r="M67" s="13" t="s">
        <v>2351</v>
      </c>
      <c r="N67" s="6"/>
      <c r="O67" s="122" t="s">
        <v>1299</v>
      </c>
      <c r="P67" s="17" t="s">
        <v>2230</v>
      </c>
      <c r="Q67" s="13" t="s">
        <v>447</v>
      </c>
      <c r="R67" s="50">
        <v>1495</v>
      </c>
      <c r="S67" s="12" t="s">
        <v>259</v>
      </c>
    </row>
    <row r="68" spans="1:19" ht="17" x14ac:dyDescent="0.2">
      <c r="A68" s="6"/>
      <c r="B68" s="687" t="s">
        <v>1964</v>
      </c>
      <c r="C68" s="13" t="s">
        <v>485</v>
      </c>
      <c r="D68" s="573" t="s">
        <v>1969</v>
      </c>
      <c r="E68" s="13"/>
      <c r="F68" s="13" t="s">
        <v>2278</v>
      </c>
      <c r="G68" s="13"/>
      <c r="H68" s="13"/>
      <c r="I68" s="12"/>
      <c r="J68" s="12"/>
      <c r="K68" s="6"/>
      <c r="L68" s="26" t="s">
        <v>2353</v>
      </c>
      <c r="M68" s="13"/>
      <c r="N68" s="6"/>
      <c r="O68" s="122"/>
      <c r="P68" s="17" t="s">
        <v>2230</v>
      </c>
      <c r="Q68" s="13"/>
      <c r="R68" s="50">
        <v>788895255</v>
      </c>
      <c r="S68" s="12" t="s">
        <v>1903</v>
      </c>
    </row>
    <row r="69" spans="1:19" ht="17" x14ac:dyDescent="0.2">
      <c r="A69" s="6"/>
      <c r="B69" s="687"/>
      <c r="C69" s="13" t="s">
        <v>485</v>
      </c>
      <c r="D69" s="687"/>
      <c r="E69" s="13"/>
      <c r="F69" s="13" t="s">
        <v>2255</v>
      </c>
      <c r="G69" s="13"/>
      <c r="H69" s="13"/>
      <c r="I69" s="12"/>
      <c r="J69" s="12"/>
      <c r="K69" s="6"/>
      <c r="L69" s="368"/>
      <c r="M69" s="13"/>
      <c r="N69" s="6"/>
      <c r="O69" s="122"/>
      <c r="P69" s="17" t="s">
        <v>2230</v>
      </c>
      <c r="Q69" s="13"/>
      <c r="R69" s="50"/>
      <c r="S69" s="12"/>
    </row>
    <row r="70" spans="1:19" ht="16" customHeight="1" x14ac:dyDescent="0.2">
      <c r="A70" s="6"/>
      <c r="B70" s="13" t="s">
        <v>1445</v>
      </c>
      <c r="C70" s="13" t="s">
        <v>485</v>
      </c>
      <c r="D70" s="13" t="s">
        <v>1306</v>
      </c>
      <c r="E70" s="13"/>
      <c r="F70" s="13" t="s">
        <v>2279</v>
      </c>
      <c r="G70" s="13"/>
      <c r="H70" s="13"/>
      <c r="I70" s="12"/>
      <c r="J70" s="12"/>
      <c r="K70" s="12" t="s">
        <v>1473</v>
      </c>
      <c r="L70" s="441"/>
      <c r="M70" s="735" t="s">
        <v>2351</v>
      </c>
      <c r="N70" s="6"/>
      <c r="O70" s="122" t="s">
        <v>740</v>
      </c>
      <c r="P70" s="17" t="s">
        <v>2230</v>
      </c>
      <c r="Q70" s="13" t="s">
        <v>447</v>
      </c>
      <c r="R70" s="50">
        <v>506</v>
      </c>
      <c r="S70" s="99" t="s">
        <v>190</v>
      </c>
    </row>
    <row r="71" spans="1:19" ht="17" x14ac:dyDescent="0.2">
      <c r="A71" s="6"/>
      <c r="B71" s="54" t="s">
        <v>1455</v>
      </c>
      <c r="C71" s="13" t="s">
        <v>485</v>
      </c>
      <c r="D71" s="13" t="s">
        <v>1307</v>
      </c>
      <c r="E71" s="13"/>
      <c r="F71" s="13" t="s">
        <v>2280</v>
      </c>
      <c r="G71" s="13"/>
      <c r="H71" s="13"/>
      <c r="I71" s="12"/>
      <c r="J71" s="12"/>
      <c r="K71" s="6"/>
      <c r="L71" s="5"/>
      <c r="M71" s="13" t="s">
        <v>2351</v>
      </c>
      <c r="N71" s="6"/>
      <c r="O71" s="122" t="s">
        <v>740</v>
      </c>
      <c r="P71" s="17" t="s">
        <v>2230</v>
      </c>
      <c r="Q71" s="13" t="s">
        <v>447</v>
      </c>
      <c r="R71" s="50">
        <v>506</v>
      </c>
      <c r="S71" s="13" t="s">
        <v>259</v>
      </c>
    </row>
    <row r="72" spans="1:19" ht="124.75" customHeight="1" x14ac:dyDescent="0.2">
      <c r="A72" s="122" t="s">
        <v>2494</v>
      </c>
      <c r="B72" s="690" t="s">
        <v>2355</v>
      </c>
      <c r="C72" s="13" t="s">
        <v>485</v>
      </c>
      <c r="D72" s="13" t="s">
        <v>183</v>
      </c>
      <c r="E72" s="668" t="s">
        <v>2347</v>
      </c>
      <c r="F72" s="38" t="s">
        <v>2434</v>
      </c>
      <c r="G72" s="646" t="s">
        <v>2364</v>
      </c>
      <c r="H72" s="692" t="s">
        <v>2350</v>
      </c>
      <c r="I72" s="702" t="s">
        <v>2443</v>
      </c>
      <c r="J72" s="719"/>
      <c r="K72" s="12" t="s">
        <v>2349</v>
      </c>
      <c r="L72" s="13" t="s">
        <v>2351</v>
      </c>
      <c r="M72" s="13" t="s">
        <v>2351</v>
      </c>
      <c r="N72" s="6"/>
      <c r="O72" s="122" t="s">
        <v>740</v>
      </c>
      <c r="P72" s="17" t="s">
        <v>2230</v>
      </c>
      <c r="Q72" s="13" t="s">
        <v>447</v>
      </c>
      <c r="R72" s="50">
        <v>488</v>
      </c>
      <c r="S72" s="12" t="s">
        <v>304</v>
      </c>
    </row>
    <row r="73" spans="1:19" ht="16" customHeight="1" x14ac:dyDescent="0.2">
      <c r="A73" s="6"/>
      <c r="B73" s="298" t="s">
        <v>1467</v>
      </c>
      <c r="C73" s="13" t="s">
        <v>485</v>
      </c>
      <c r="D73" s="13" t="s">
        <v>1331</v>
      </c>
      <c r="E73" s="13" t="s">
        <v>1327</v>
      </c>
      <c r="F73" s="13" t="s">
        <v>2281</v>
      </c>
      <c r="G73" s="13"/>
      <c r="H73" s="13"/>
      <c r="I73" s="12"/>
      <c r="J73" s="12"/>
      <c r="K73" s="6"/>
      <c r="L73" s="129" t="s">
        <v>2352</v>
      </c>
      <c r="M73" s="13" t="s">
        <v>2351</v>
      </c>
      <c r="N73" s="6"/>
      <c r="O73" s="122" t="s">
        <v>1240</v>
      </c>
      <c r="P73" s="17" t="s">
        <v>2230</v>
      </c>
      <c r="Q73" s="13"/>
      <c r="R73" s="50">
        <v>788891503</v>
      </c>
      <c r="S73" s="99" t="s">
        <v>190</v>
      </c>
    </row>
    <row r="74" spans="1:19" ht="17" x14ac:dyDescent="0.2">
      <c r="A74" s="6"/>
      <c r="B74" s="13" t="s">
        <v>1466</v>
      </c>
      <c r="C74" s="13" t="s">
        <v>485</v>
      </c>
      <c r="D74" s="13" t="s">
        <v>1309</v>
      </c>
      <c r="E74" s="13"/>
      <c r="F74" s="13" t="s">
        <v>2282</v>
      </c>
      <c r="G74" s="13"/>
      <c r="H74" s="13"/>
      <c r="I74" s="12"/>
      <c r="J74" s="12"/>
      <c r="K74" s="6"/>
      <c r="L74" s="129" t="s">
        <v>2352</v>
      </c>
      <c r="M74" s="13" t="s">
        <v>2351</v>
      </c>
      <c r="N74" s="6"/>
      <c r="O74" s="122" t="s">
        <v>1240</v>
      </c>
      <c r="P74" s="17" t="s">
        <v>2230</v>
      </c>
      <c r="Q74" s="13"/>
      <c r="R74" s="50"/>
      <c r="S74" s="13" t="s">
        <v>259</v>
      </c>
    </row>
    <row r="75" spans="1:19" ht="17" x14ac:dyDescent="0.2">
      <c r="A75" s="6"/>
      <c r="B75" s="13" t="s">
        <v>1465</v>
      </c>
      <c r="C75" s="13" t="s">
        <v>485</v>
      </c>
      <c r="D75" s="13" t="s">
        <v>1308</v>
      </c>
      <c r="E75" s="13"/>
      <c r="F75" s="13" t="s">
        <v>2283</v>
      </c>
      <c r="G75" s="13"/>
      <c r="H75" s="13"/>
      <c r="I75" s="12"/>
      <c r="J75" s="12"/>
      <c r="K75" s="6"/>
      <c r="L75" s="129" t="s">
        <v>2352</v>
      </c>
      <c r="M75" s="64" t="s">
        <v>49</v>
      </c>
      <c r="N75" s="6"/>
      <c r="O75" s="122" t="s">
        <v>1240</v>
      </c>
      <c r="P75" s="17" t="s">
        <v>2230</v>
      </c>
      <c r="Q75" s="355" t="s">
        <v>1332</v>
      </c>
      <c r="R75" s="50"/>
      <c r="S75" s="12" t="s">
        <v>1464</v>
      </c>
    </row>
    <row r="76" spans="1:19" ht="17" x14ac:dyDescent="0.2">
      <c r="A76" s="6"/>
      <c r="B76" s="13"/>
      <c r="C76" s="13" t="s">
        <v>485</v>
      </c>
      <c r="D76" s="13"/>
      <c r="E76" s="13"/>
      <c r="F76" s="13" t="s">
        <v>2255</v>
      </c>
      <c r="G76" s="13"/>
      <c r="H76" s="13"/>
      <c r="I76" s="12"/>
      <c r="J76" s="12"/>
      <c r="K76" s="6"/>
      <c r="L76" s="368"/>
      <c r="M76" s="13"/>
      <c r="N76" s="6"/>
      <c r="O76" s="122" t="s">
        <v>1240</v>
      </c>
      <c r="P76" s="17" t="s">
        <v>2230</v>
      </c>
      <c r="Q76" s="13"/>
      <c r="R76" s="50"/>
      <c r="S76" s="51"/>
    </row>
    <row r="77" spans="1:19" ht="16" customHeight="1" x14ac:dyDescent="0.2">
      <c r="A77" s="6"/>
      <c r="B77" s="13" t="s">
        <v>1684</v>
      </c>
      <c r="C77" s="13" t="s">
        <v>485</v>
      </c>
      <c r="D77" s="13" t="s">
        <v>1530</v>
      </c>
      <c r="E77" s="13" t="s">
        <v>2505</v>
      </c>
      <c r="F77" s="13" t="s">
        <v>2284</v>
      </c>
      <c r="G77" s="13"/>
      <c r="H77" s="45"/>
      <c r="I77" s="12"/>
      <c r="J77" s="12"/>
      <c r="K77" s="6"/>
      <c r="L77" s="13" t="s">
        <v>2351</v>
      </c>
      <c r="M77" s="441"/>
      <c r="N77" s="6"/>
      <c r="O77" s="122" t="s">
        <v>516</v>
      </c>
      <c r="P77" s="6"/>
      <c r="Q77" s="187" t="s">
        <v>2506</v>
      </c>
      <c r="R77" s="50">
        <v>542082568</v>
      </c>
      <c r="S77" s="99" t="s">
        <v>1682</v>
      </c>
    </row>
    <row r="78" spans="1:19" ht="17" x14ac:dyDescent="0.2">
      <c r="A78" s="6"/>
      <c r="B78" s="54" t="s">
        <v>1685</v>
      </c>
      <c r="C78" s="13" t="s">
        <v>485</v>
      </c>
      <c r="D78" s="13" t="s">
        <v>218</v>
      </c>
      <c r="E78" s="13" t="s">
        <v>1690</v>
      </c>
      <c r="F78" s="13" t="s">
        <v>2285</v>
      </c>
      <c r="G78" s="99"/>
      <c r="H78" s="45"/>
      <c r="I78" s="12"/>
      <c r="J78" s="12"/>
      <c r="K78" s="6"/>
      <c r="L78" s="686" t="s">
        <v>49</v>
      </c>
      <c r="M78" s="5"/>
      <c r="N78" s="6"/>
      <c r="O78" s="122" t="s">
        <v>516</v>
      </c>
      <c r="P78" s="6"/>
      <c r="Q78" s="187" t="s">
        <v>2506</v>
      </c>
      <c r="R78" s="50">
        <v>542082568</v>
      </c>
      <c r="S78" s="13" t="s">
        <v>1683</v>
      </c>
    </row>
    <row r="79" spans="1:19" ht="102" customHeight="1" x14ac:dyDescent="0.2">
      <c r="A79" s="6"/>
      <c r="B79" s="13" t="s">
        <v>1684</v>
      </c>
      <c r="C79" s="13" t="s">
        <v>485</v>
      </c>
      <c r="D79" s="13" t="s">
        <v>1666</v>
      </c>
      <c r="E79" s="38" t="s">
        <v>2504</v>
      </c>
      <c r="F79" s="13" t="s">
        <v>2286</v>
      </c>
      <c r="G79" s="38" t="s">
        <v>1715</v>
      </c>
      <c r="H79" s="45"/>
      <c r="I79" s="12"/>
      <c r="J79" s="12"/>
      <c r="K79" s="6"/>
      <c r="L79" s="686" t="s">
        <v>49</v>
      </c>
      <c r="M79" s="5"/>
      <c r="N79" s="6"/>
      <c r="O79" s="122" t="s">
        <v>516</v>
      </c>
      <c r="P79" s="6"/>
      <c r="Q79" s="187" t="s">
        <v>2506</v>
      </c>
      <c r="R79" s="50">
        <v>542082568</v>
      </c>
      <c r="S79" s="13" t="s">
        <v>1671</v>
      </c>
    </row>
    <row r="80" spans="1:19" ht="103" customHeight="1" x14ac:dyDescent="0.2">
      <c r="A80" s="6"/>
      <c r="B80" s="13" t="s">
        <v>1684</v>
      </c>
      <c r="C80" s="13" t="s">
        <v>485</v>
      </c>
      <c r="D80" s="13" t="s">
        <v>1667</v>
      </c>
      <c r="E80" s="38" t="s">
        <v>2504</v>
      </c>
      <c r="F80" s="13" t="s">
        <v>2287</v>
      </c>
      <c r="G80" s="38" t="s">
        <v>1716</v>
      </c>
      <c r="H80" s="45"/>
      <c r="I80" s="12"/>
      <c r="J80" s="12"/>
      <c r="K80" s="6"/>
      <c r="L80" s="686" t="s">
        <v>49</v>
      </c>
      <c r="M80" s="298"/>
      <c r="N80" s="6"/>
      <c r="O80" s="122" t="s">
        <v>516</v>
      </c>
      <c r="P80" s="6"/>
      <c r="Q80" s="187" t="s">
        <v>2506</v>
      </c>
      <c r="R80" s="50">
        <v>542082568</v>
      </c>
      <c r="S80" s="51" t="s">
        <v>1672</v>
      </c>
    </row>
    <row r="81" spans="1:19" ht="77.5" customHeight="1" x14ac:dyDescent="0.2">
      <c r="A81" s="6"/>
      <c r="B81" s="13" t="s">
        <v>953</v>
      </c>
      <c r="C81" s="13" t="s">
        <v>485</v>
      </c>
      <c r="D81" s="13" t="s">
        <v>222</v>
      </c>
      <c r="E81" s="38" t="s">
        <v>2454</v>
      </c>
      <c r="F81" s="38" t="s">
        <v>2435</v>
      </c>
      <c r="G81" s="13"/>
      <c r="H81" s="42"/>
      <c r="I81" s="702" t="s">
        <v>2443</v>
      </c>
      <c r="J81" s="720"/>
      <c r="K81" s="12"/>
      <c r="L81" s="686" t="s">
        <v>49</v>
      </c>
      <c r="M81" s="143"/>
      <c r="N81" s="6"/>
      <c r="O81" s="122" t="s">
        <v>517</v>
      </c>
      <c r="P81" s="17" t="s">
        <v>516</v>
      </c>
      <c r="Q81" s="13" t="s">
        <v>447</v>
      </c>
      <c r="R81" s="50">
        <v>788891487</v>
      </c>
      <c r="S81" s="13" t="s">
        <v>1668</v>
      </c>
    </row>
    <row r="82" spans="1:19" ht="85" x14ac:dyDescent="0.2">
      <c r="A82" s="6"/>
      <c r="B82" s="54" t="s">
        <v>953</v>
      </c>
      <c r="C82" s="13" t="s">
        <v>485</v>
      </c>
      <c r="D82" s="13" t="s">
        <v>222</v>
      </c>
      <c r="E82" s="38" t="s">
        <v>2455</v>
      </c>
      <c r="F82" s="38" t="s">
        <v>2436</v>
      </c>
      <c r="G82" s="45"/>
      <c r="H82" s="42"/>
      <c r="I82" s="702" t="s">
        <v>2443</v>
      </c>
      <c r="J82" s="720"/>
      <c r="K82" s="12"/>
      <c r="L82" s="13"/>
      <c r="M82" s="13" t="s">
        <v>2351</v>
      </c>
      <c r="N82" s="6"/>
      <c r="O82" s="122" t="s">
        <v>517</v>
      </c>
      <c r="P82" s="17" t="s">
        <v>516</v>
      </c>
      <c r="Q82" s="13" t="s">
        <v>447</v>
      </c>
      <c r="R82" s="50">
        <v>788891487</v>
      </c>
      <c r="S82" s="13" t="s">
        <v>1669</v>
      </c>
    </row>
    <row r="83" spans="1:19" ht="101.5" customHeight="1" x14ac:dyDescent="0.2">
      <c r="A83" s="122" t="s">
        <v>2478</v>
      </c>
      <c r="B83" s="38" t="s">
        <v>2477</v>
      </c>
      <c r="C83" s="13" t="s">
        <v>485</v>
      </c>
      <c r="D83" s="13" t="s">
        <v>220</v>
      </c>
      <c r="E83" s="722" t="s">
        <v>2456</v>
      </c>
      <c r="F83" s="38" t="s">
        <v>2473</v>
      </c>
      <c r="G83" s="646" t="s">
        <v>2514</v>
      </c>
      <c r="H83" s="692" t="s">
        <v>2482</v>
      </c>
      <c r="I83" s="702" t="s">
        <v>2443</v>
      </c>
      <c r="J83" s="719"/>
      <c r="K83" s="12"/>
      <c r="L83" s="686" t="s">
        <v>49</v>
      </c>
      <c r="M83" s="13" t="s">
        <v>2351</v>
      </c>
      <c r="N83" s="6"/>
      <c r="O83" s="122" t="s">
        <v>517</v>
      </c>
      <c r="P83" s="17" t="s">
        <v>516</v>
      </c>
      <c r="Q83" s="13" t="s">
        <v>447</v>
      </c>
      <c r="R83" s="50">
        <v>788891498</v>
      </c>
      <c r="S83" s="99" t="s">
        <v>1565</v>
      </c>
    </row>
    <row r="84" spans="1:19" ht="51" x14ac:dyDescent="0.2">
      <c r="A84" s="6"/>
      <c r="B84" s="13" t="s">
        <v>1687</v>
      </c>
      <c r="C84" s="13" t="s">
        <v>485</v>
      </c>
      <c r="D84" s="13" t="s">
        <v>1678</v>
      </c>
      <c r="E84" s="13" t="s">
        <v>1692</v>
      </c>
      <c r="F84" s="38" t="s">
        <v>2475</v>
      </c>
      <c r="G84" s="13"/>
      <c r="H84" s="45"/>
      <c r="I84" s="12"/>
      <c r="J84" s="12"/>
      <c r="K84" s="6"/>
      <c r="L84" s="686" t="s">
        <v>49</v>
      </c>
      <c r="M84" s="298"/>
      <c r="N84" s="6"/>
      <c r="O84" s="122" t="s">
        <v>517</v>
      </c>
      <c r="P84" s="17" t="s">
        <v>516</v>
      </c>
      <c r="Q84" s="13" t="s">
        <v>447</v>
      </c>
      <c r="R84" s="50">
        <v>788891498</v>
      </c>
      <c r="S84" s="51" t="s">
        <v>1679</v>
      </c>
    </row>
    <row r="85" spans="1:19" ht="87.5" customHeight="1" x14ac:dyDescent="0.2">
      <c r="A85" s="6"/>
      <c r="B85" s="13" t="s">
        <v>953</v>
      </c>
      <c r="C85" s="13" t="s">
        <v>485</v>
      </c>
      <c r="D85" s="13" t="s">
        <v>1531</v>
      </c>
      <c r="E85" s="38" t="s">
        <v>2457</v>
      </c>
      <c r="F85" s="38" t="s">
        <v>2437</v>
      </c>
      <c r="G85" s="13"/>
      <c r="H85" s="45"/>
      <c r="I85" s="702" t="s">
        <v>2443</v>
      </c>
      <c r="J85" s="719"/>
      <c r="K85" s="12"/>
      <c r="L85" s="686" t="s">
        <v>49</v>
      </c>
      <c r="M85" s="12"/>
      <c r="N85" s="6"/>
      <c r="O85" s="122" t="s">
        <v>1649</v>
      </c>
      <c r="P85" s="17" t="s">
        <v>516</v>
      </c>
      <c r="Q85" s="13" t="s">
        <v>447</v>
      </c>
      <c r="R85" s="50">
        <v>788891508</v>
      </c>
      <c r="S85" s="13" t="s">
        <v>197</v>
      </c>
    </row>
    <row r="86" spans="1:19" ht="107.5" customHeight="1" x14ac:dyDescent="0.2">
      <c r="A86" s="6"/>
      <c r="B86" s="54" t="s">
        <v>953</v>
      </c>
      <c r="C86" s="13" t="s">
        <v>485</v>
      </c>
      <c r="D86" s="13" t="s">
        <v>1531</v>
      </c>
      <c r="E86" s="38" t="s">
        <v>2458</v>
      </c>
      <c r="F86" s="38" t="s">
        <v>2438</v>
      </c>
      <c r="G86" s="6"/>
      <c r="H86" s="6"/>
      <c r="I86" s="702" t="s">
        <v>2443</v>
      </c>
      <c r="J86" s="717"/>
      <c r="K86" s="12"/>
      <c r="L86" s="13"/>
      <c r="M86" s="13" t="s">
        <v>2351</v>
      </c>
      <c r="N86" s="6"/>
      <c r="O86" s="122" t="s">
        <v>1649</v>
      </c>
      <c r="P86" s="17" t="s">
        <v>516</v>
      </c>
      <c r="Q86" s="13" t="s">
        <v>447</v>
      </c>
      <c r="R86" s="50">
        <v>788891508</v>
      </c>
      <c r="S86" s="13" t="s">
        <v>1686</v>
      </c>
    </row>
    <row r="87" spans="1:19" ht="85.25" customHeight="1" x14ac:dyDescent="0.2">
      <c r="A87" s="122" t="s">
        <v>2478</v>
      </c>
      <c r="B87" s="38" t="s">
        <v>2477</v>
      </c>
      <c r="C87" s="13" t="s">
        <v>485</v>
      </c>
      <c r="D87" s="13" t="s">
        <v>1532</v>
      </c>
      <c r="E87" s="722" t="s">
        <v>2459</v>
      </c>
      <c r="F87" s="38" t="s">
        <v>2474</v>
      </c>
      <c r="G87" s="646" t="s">
        <v>2476</v>
      </c>
      <c r="H87" s="692" t="s">
        <v>2481</v>
      </c>
      <c r="I87" s="702" t="s">
        <v>2443</v>
      </c>
      <c r="J87" s="719"/>
      <c r="K87" s="12"/>
      <c r="L87" s="686" t="s">
        <v>49</v>
      </c>
      <c r="M87" s="13" t="s">
        <v>2351</v>
      </c>
      <c r="N87" s="6"/>
      <c r="O87" s="122" t="s">
        <v>1649</v>
      </c>
      <c r="P87" s="17" t="s">
        <v>516</v>
      </c>
      <c r="Q87" s="13" t="s">
        <v>447</v>
      </c>
      <c r="R87" s="50">
        <v>788891486</v>
      </c>
      <c r="S87" s="99" t="s">
        <v>1565</v>
      </c>
    </row>
    <row r="88" spans="1:19" ht="119" x14ac:dyDescent="0.2">
      <c r="A88" s="122" t="s">
        <v>2478</v>
      </c>
      <c r="B88" s="38" t="s">
        <v>2477</v>
      </c>
      <c r="C88" s="13" t="s">
        <v>485</v>
      </c>
      <c r="D88" s="13" t="s">
        <v>224</v>
      </c>
      <c r="E88" s="38" t="s">
        <v>2383</v>
      </c>
      <c r="F88" s="38" t="s">
        <v>2480</v>
      </c>
      <c r="G88" s="646" t="s">
        <v>2512</v>
      </c>
      <c r="H88" s="692" t="s">
        <v>2484</v>
      </c>
      <c r="I88" s="12"/>
      <c r="J88" s="12"/>
      <c r="K88" s="6"/>
      <c r="L88" s="13" t="s">
        <v>2351</v>
      </c>
      <c r="M88" s="13" t="s">
        <v>2351</v>
      </c>
      <c r="N88" s="6"/>
      <c r="O88" s="122" t="s">
        <v>1529</v>
      </c>
      <c r="P88" s="17" t="s">
        <v>516</v>
      </c>
      <c r="Q88" s="13" t="s">
        <v>447</v>
      </c>
      <c r="R88" s="50">
        <v>788893241</v>
      </c>
      <c r="S88" s="92" t="s">
        <v>2479</v>
      </c>
    </row>
    <row r="89" spans="1:19" ht="81.5" customHeight="1" x14ac:dyDescent="0.2">
      <c r="A89" s="122" t="s">
        <v>2508</v>
      </c>
      <c r="B89" s="38" t="s">
        <v>2511</v>
      </c>
      <c r="C89" s="13" t="s">
        <v>485</v>
      </c>
      <c r="D89" s="13" t="s">
        <v>1533</v>
      </c>
      <c r="E89" s="668" t="s">
        <v>2348</v>
      </c>
      <c r="F89" s="38" t="s">
        <v>2361</v>
      </c>
      <c r="G89" s="646" t="s">
        <v>2515</v>
      </c>
      <c r="H89" s="692" t="s">
        <v>2362</v>
      </c>
      <c r="I89" s="12"/>
      <c r="J89" s="12"/>
      <c r="K89" s="42" t="s">
        <v>1814</v>
      </c>
      <c r="L89" s="13" t="s">
        <v>2351</v>
      </c>
      <c r="M89" s="13" t="s">
        <v>2351</v>
      </c>
      <c r="N89" s="6"/>
      <c r="O89" s="122" t="s">
        <v>1529</v>
      </c>
      <c r="P89" s="17" t="s">
        <v>516</v>
      </c>
      <c r="Q89" s="13" t="s">
        <v>447</v>
      </c>
      <c r="R89" s="50">
        <v>788891514</v>
      </c>
      <c r="S89" s="99" t="s">
        <v>2510</v>
      </c>
    </row>
    <row r="90" spans="1:19" ht="17" x14ac:dyDescent="0.2">
      <c r="A90" s="6"/>
      <c r="B90" s="13"/>
      <c r="C90" s="13" t="s">
        <v>485</v>
      </c>
      <c r="D90" s="13"/>
      <c r="E90" s="13"/>
      <c r="F90" s="13" t="s">
        <v>2255</v>
      </c>
      <c r="G90" s="13"/>
      <c r="H90" s="45"/>
      <c r="I90" s="12"/>
      <c r="J90" s="12"/>
      <c r="K90" s="6"/>
      <c r="L90" s="13"/>
      <c r="M90" s="298"/>
      <c r="N90" s="6"/>
      <c r="O90" s="122" t="s">
        <v>1529</v>
      </c>
      <c r="P90" s="17" t="s">
        <v>516</v>
      </c>
      <c r="Q90" s="13" t="s">
        <v>447</v>
      </c>
      <c r="R90" s="50">
        <v>788891514</v>
      </c>
      <c r="S90" s="51"/>
    </row>
    <row r="91" spans="1:19" ht="83.5" customHeight="1" x14ac:dyDescent="0.2">
      <c r="A91" s="6"/>
      <c r="B91" s="13"/>
      <c r="C91" s="13" t="s">
        <v>485</v>
      </c>
      <c r="D91" s="13" t="s">
        <v>1535</v>
      </c>
      <c r="E91" s="38" t="s">
        <v>2460</v>
      </c>
      <c r="F91" s="38" t="s">
        <v>2439</v>
      </c>
      <c r="G91" s="13"/>
      <c r="H91" s="45"/>
      <c r="I91" s="702" t="s">
        <v>2443</v>
      </c>
      <c r="J91" s="721"/>
      <c r="K91" s="12"/>
      <c r="L91" s="686" t="s">
        <v>49</v>
      </c>
      <c r="M91" s="143"/>
      <c r="N91" s="6"/>
      <c r="O91" s="122" t="s">
        <v>1650</v>
      </c>
      <c r="P91" s="17" t="s">
        <v>516</v>
      </c>
      <c r="Q91" s="13" t="s">
        <v>447</v>
      </c>
      <c r="R91" s="50">
        <v>788891507</v>
      </c>
      <c r="S91" s="13" t="s">
        <v>1558</v>
      </c>
    </row>
    <row r="92" spans="1:19" ht="72.5" customHeight="1" x14ac:dyDescent="0.2">
      <c r="A92" s="6"/>
      <c r="B92" s="54"/>
      <c r="C92" s="13" t="s">
        <v>485</v>
      </c>
      <c r="D92" s="13" t="s">
        <v>1535</v>
      </c>
      <c r="E92" s="38" t="s">
        <v>2461</v>
      </c>
      <c r="F92" s="38" t="s">
        <v>2440</v>
      </c>
      <c r="G92" s="13"/>
      <c r="H92" s="45"/>
      <c r="I92" s="702" t="s">
        <v>2443</v>
      </c>
      <c r="J92" s="720"/>
      <c r="K92" s="12"/>
      <c r="L92" s="13"/>
      <c r="M92" s="441" t="s">
        <v>2351</v>
      </c>
      <c r="N92" s="6"/>
      <c r="O92" s="122" t="s">
        <v>1650</v>
      </c>
      <c r="P92" s="17" t="s">
        <v>516</v>
      </c>
      <c r="Q92" s="13" t="s">
        <v>447</v>
      </c>
      <c r="R92" s="50">
        <v>788891507</v>
      </c>
      <c r="S92" s="13" t="s">
        <v>1567</v>
      </c>
    </row>
    <row r="93" spans="1:19" ht="109.25" customHeight="1" x14ac:dyDescent="0.2">
      <c r="A93" s="122" t="s">
        <v>2508</v>
      </c>
      <c r="B93" s="38" t="s">
        <v>2509</v>
      </c>
      <c r="C93" s="13" t="s">
        <v>485</v>
      </c>
      <c r="D93" s="13" t="s">
        <v>1534</v>
      </c>
      <c r="E93" s="722" t="s">
        <v>2462</v>
      </c>
      <c r="F93" s="38" t="s">
        <v>2470</v>
      </c>
      <c r="G93" s="646" t="s">
        <v>2513</v>
      </c>
      <c r="H93" s="692" t="s">
        <v>2483</v>
      </c>
      <c r="I93" s="702" t="s">
        <v>2443</v>
      </c>
      <c r="J93" s="719"/>
      <c r="K93" s="12"/>
      <c r="L93" s="686" t="s">
        <v>49</v>
      </c>
      <c r="M93" s="441" t="s">
        <v>2351</v>
      </c>
      <c r="N93" s="6"/>
      <c r="O93" s="122" t="s">
        <v>1650</v>
      </c>
      <c r="P93" s="17" t="s">
        <v>516</v>
      </c>
      <c r="Q93" s="13" t="s">
        <v>447</v>
      </c>
      <c r="R93" s="50">
        <v>788891518</v>
      </c>
      <c r="S93" s="99" t="s">
        <v>1565</v>
      </c>
    </row>
    <row r="94" spans="1:19" ht="16" customHeight="1" x14ac:dyDescent="0.2">
      <c r="A94" s="6"/>
      <c r="B94" s="13"/>
      <c r="C94" s="13" t="s">
        <v>485</v>
      </c>
      <c r="D94" s="13" t="s">
        <v>1536</v>
      </c>
      <c r="E94" s="54" t="s">
        <v>1693</v>
      </c>
      <c r="F94" s="13" t="s">
        <v>2288</v>
      </c>
      <c r="G94" s="13"/>
      <c r="H94" s="45"/>
      <c r="I94" s="12"/>
      <c r="J94" s="12"/>
      <c r="K94" s="6"/>
      <c r="L94" s="13" t="s">
        <v>2351</v>
      </c>
      <c r="M94" s="129" t="s">
        <v>2352</v>
      </c>
      <c r="N94" s="6"/>
      <c r="O94" s="122" t="s">
        <v>1243</v>
      </c>
      <c r="P94" s="17" t="s">
        <v>516</v>
      </c>
      <c r="Q94" s="13" t="s">
        <v>447</v>
      </c>
      <c r="R94" s="50">
        <v>788891485</v>
      </c>
      <c r="S94" s="99" t="s">
        <v>190</v>
      </c>
    </row>
    <row r="95" spans="1:19" ht="17" x14ac:dyDescent="0.2">
      <c r="A95" s="6"/>
      <c r="B95" s="54" t="s">
        <v>953</v>
      </c>
      <c r="C95" s="13" t="s">
        <v>485</v>
      </c>
      <c r="D95" s="13" t="s">
        <v>1537</v>
      </c>
      <c r="E95" s="54" t="s">
        <v>1693</v>
      </c>
      <c r="F95" s="13" t="s">
        <v>2289</v>
      </c>
      <c r="G95" s="13"/>
      <c r="H95" s="45"/>
      <c r="I95" s="12"/>
      <c r="J95" s="12"/>
      <c r="K95" s="6"/>
      <c r="L95" s="13" t="s">
        <v>2351</v>
      </c>
      <c r="M95" s="5"/>
      <c r="N95" s="6"/>
      <c r="O95" s="122" t="s">
        <v>1243</v>
      </c>
      <c r="P95" s="17" t="s">
        <v>516</v>
      </c>
      <c r="Q95" s="13" t="s">
        <v>447</v>
      </c>
      <c r="R95" s="50">
        <v>788891485</v>
      </c>
      <c r="S95" s="51" t="s">
        <v>1566</v>
      </c>
    </row>
    <row r="96" spans="1:19" ht="17" x14ac:dyDescent="0.2">
      <c r="A96" s="6"/>
      <c r="B96" s="13"/>
      <c r="C96" s="13" t="s">
        <v>485</v>
      </c>
      <c r="D96" s="13" t="s">
        <v>1538</v>
      </c>
      <c r="E96" s="54" t="s">
        <v>1693</v>
      </c>
      <c r="F96" s="13" t="s">
        <v>2290</v>
      </c>
      <c r="G96" s="13"/>
      <c r="H96" s="45"/>
      <c r="I96" s="12"/>
      <c r="J96" s="12"/>
      <c r="K96" s="6"/>
      <c r="L96" s="13" t="s">
        <v>2351</v>
      </c>
      <c r="M96" s="13"/>
      <c r="N96" s="6"/>
      <c r="O96" s="122" t="s">
        <v>1243</v>
      </c>
      <c r="P96" s="17" t="s">
        <v>516</v>
      </c>
      <c r="Q96" s="13" t="s">
        <v>447</v>
      </c>
      <c r="R96" s="50">
        <v>788892252</v>
      </c>
      <c r="S96" s="99" t="s">
        <v>190</v>
      </c>
    </row>
    <row r="97" spans="1:19" ht="17" x14ac:dyDescent="0.2">
      <c r="A97" s="6"/>
      <c r="B97" s="13"/>
      <c r="C97" s="13" t="s">
        <v>485</v>
      </c>
      <c r="D97" s="13" t="s">
        <v>1539</v>
      </c>
      <c r="E97" s="13" t="s">
        <v>1693</v>
      </c>
      <c r="F97" s="13" t="s">
        <v>2291</v>
      </c>
      <c r="G97" s="13"/>
      <c r="H97" s="45"/>
      <c r="I97" s="12"/>
      <c r="J97" s="12"/>
      <c r="K97" s="6"/>
      <c r="L97" s="13" t="s">
        <v>2351</v>
      </c>
      <c r="M97" s="298"/>
      <c r="N97" s="6"/>
      <c r="O97" s="122" t="s">
        <v>1243</v>
      </c>
      <c r="P97" s="17" t="s">
        <v>516</v>
      </c>
      <c r="Q97" s="13" t="s">
        <v>447</v>
      </c>
      <c r="R97" s="50">
        <v>788892252</v>
      </c>
      <c r="S97" s="51" t="s">
        <v>1566</v>
      </c>
    </row>
    <row r="98" spans="1:19" ht="16" customHeight="1" x14ac:dyDescent="0.2">
      <c r="A98" s="6"/>
      <c r="B98" s="13"/>
      <c r="C98" s="13" t="s">
        <v>485</v>
      </c>
      <c r="D98" s="13" t="s">
        <v>1540</v>
      </c>
      <c r="E98" s="54" t="s">
        <v>1693</v>
      </c>
      <c r="F98" s="13" t="s">
        <v>2292</v>
      </c>
      <c r="G98" s="13"/>
      <c r="H98" s="45"/>
      <c r="I98" s="12"/>
      <c r="J98" s="12"/>
      <c r="K98" s="6"/>
      <c r="L98" s="13" t="s">
        <v>2351</v>
      </c>
      <c r="M98" s="12"/>
      <c r="N98" s="6"/>
      <c r="O98" s="122" t="s">
        <v>1242</v>
      </c>
      <c r="P98" s="17" t="s">
        <v>516</v>
      </c>
      <c r="Q98" s="13" t="s">
        <v>447</v>
      </c>
      <c r="R98" s="50">
        <v>788891502</v>
      </c>
      <c r="S98" s="99" t="s">
        <v>190</v>
      </c>
    </row>
    <row r="99" spans="1:19" ht="17" x14ac:dyDescent="0.2">
      <c r="A99" s="6"/>
      <c r="B99" s="54"/>
      <c r="C99" s="13" t="s">
        <v>485</v>
      </c>
      <c r="D99" s="13" t="s">
        <v>1541</v>
      </c>
      <c r="E99" s="54" t="s">
        <v>1693</v>
      </c>
      <c r="F99" s="13" t="s">
        <v>2293</v>
      </c>
      <c r="G99" s="13"/>
      <c r="H99" s="45"/>
      <c r="I99" s="12"/>
      <c r="J99" s="12"/>
      <c r="K99" s="6"/>
      <c r="L99" s="13" t="s">
        <v>2351</v>
      </c>
      <c r="M99" s="5"/>
      <c r="N99" s="6"/>
      <c r="O99" s="122" t="s">
        <v>1242</v>
      </c>
      <c r="P99" s="17" t="s">
        <v>516</v>
      </c>
      <c r="Q99" s="13" t="s">
        <v>447</v>
      </c>
      <c r="R99" s="50">
        <v>788891502</v>
      </c>
      <c r="S99" s="51" t="s">
        <v>1566</v>
      </c>
    </row>
    <row r="100" spans="1:19" ht="17" x14ac:dyDescent="0.2">
      <c r="A100" s="6"/>
      <c r="B100" s="13"/>
      <c r="C100" s="13" t="s">
        <v>485</v>
      </c>
      <c r="D100" s="13" t="s">
        <v>1542</v>
      </c>
      <c r="E100" s="54" t="s">
        <v>1693</v>
      </c>
      <c r="F100" s="13" t="s">
        <v>2294</v>
      </c>
      <c r="G100" s="13"/>
      <c r="H100" s="45"/>
      <c r="I100" s="12"/>
      <c r="J100" s="12"/>
      <c r="K100" s="6"/>
      <c r="L100" s="13" t="s">
        <v>2351</v>
      </c>
      <c r="M100" s="13"/>
      <c r="N100" s="6"/>
      <c r="O100" s="122" t="s">
        <v>1242</v>
      </c>
      <c r="P100" s="17" t="s">
        <v>516</v>
      </c>
      <c r="Q100" s="13" t="s">
        <v>447</v>
      </c>
      <c r="R100" s="50">
        <v>788891564</v>
      </c>
      <c r="S100" s="99" t="s">
        <v>190</v>
      </c>
    </row>
    <row r="101" spans="1:19" ht="17" x14ac:dyDescent="0.2">
      <c r="A101" s="6"/>
      <c r="B101" s="13"/>
      <c r="C101" s="13" t="s">
        <v>485</v>
      </c>
      <c r="D101" s="13" t="s">
        <v>1681</v>
      </c>
      <c r="E101" s="13" t="s">
        <v>1717</v>
      </c>
      <c r="F101" s="13" t="s">
        <v>2295</v>
      </c>
      <c r="G101" s="13"/>
      <c r="H101" s="45"/>
      <c r="I101" s="12"/>
      <c r="J101" s="12"/>
      <c r="K101" s="6"/>
      <c r="L101" s="13" t="s">
        <v>2351</v>
      </c>
      <c r="M101" s="298"/>
      <c r="N101" s="6"/>
      <c r="O101" s="122" t="s">
        <v>1242</v>
      </c>
      <c r="P101" s="17" t="s">
        <v>516</v>
      </c>
      <c r="Q101" s="13" t="s">
        <v>447</v>
      </c>
      <c r="R101" s="50">
        <v>788891564</v>
      </c>
      <c r="S101" s="51" t="s">
        <v>1566</v>
      </c>
    </row>
    <row r="102" spans="1:19" ht="17" x14ac:dyDescent="0.2">
      <c r="A102" s="6"/>
      <c r="B102" s="46"/>
      <c r="C102" s="13" t="s">
        <v>485</v>
      </c>
      <c r="D102" s="13" t="s">
        <v>912</v>
      </c>
      <c r="E102" s="54"/>
      <c r="F102" s="13" t="s">
        <v>2296</v>
      </c>
      <c r="G102" s="54"/>
      <c r="H102" s="45"/>
      <c r="I102" s="12"/>
      <c r="J102" s="12"/>
      <c r="K102" s="6"/>
      <c r="L102" s="54"/>
      <c r="M102" s="54"/>
      <c r="N102" s="6"/>
      <c r="O102" s="54"/>
      <c r="P102" s="17" t="s">
        <v>516</v>
      </c>
      <c r="Q102" s="13" t="s">
        <v>447</v>
      </c>
      <c r="R102" s="54"/>
      <c r="S102" s="218"/>
    </row>
    <row r="103" spans="1:19" ht="16" customHeight="1" x14ac:dyDescent="0.2">
      <c r="A103" s="6"/>
      <c r="B103" s="13"/>
      <c r="C103" s="13" t="s">
        <v>485</v>
      </c>
      <c r="D103" s="13" t="s">
        <v>1543</v>
      </c>
      <c r="E103" s="54" t="s">
        <v>1693</v>
      </c>
      <c r="F103" s="13" t="s">
        <v>2297</v>
      </c>
      <c r="G103" s="13"/>
      <c r="H103" s="13"/>
      <c r="I103" s="12"/>
      <c r="J103" s="12"/>
      <c r="K103" s="6"/>
      <c r="L103" s="13" t="s">
        <v>2351</v>
      </c>
      <c r="M103" s="12"/>
      <c r="N103" s="6"/>
      <c r="O103" s="122" t="s">
        <v>1241</v>
      </c>
      <c r="P103" s="17" t="s">
        <v>516</v>
      </c>
      <c r="Q103" s="13" t="s">
        <v>447</v>
      </c>
      <c r="R103" s="50">
        <v>788891516</v>
      </c>
      <c r="S103" s="99" t="s">
        <v>190</v>
      </c>
    </row>
    <row r="104" spans="1:19" ht="17" x14ac:dyDescent="0.2">
      <c r="A104" s="6"/>
      <c r="B104" s="54"/>
      <c r="C104" s="13" t="s">
        <v>485</v>
      </c>
      <c r="D104" s="13" t="s">
        <v>1544</v>
      </c>
      <c r="E104" s="54" t="s">
        <v>1693</v>
      </c>
      <c r="F104" s="13" t="s">
        <v>2298</v>
      </c>
      <c r="G104" s="13"/>
      <c r="H104" s="45"/>
      <c r="I104" s="12"/>
      <c r="J104" s="12"/>
      <c r="K104" s="6"/>
      <c r="L104" s="13" t="s">
        <v>2351</v>
      </c>
      <c r="M104" s="5"/>
      <c r="N104" s="6"/>
      <c r="O104" s="122" t="s">
        <v>1241</v>
      </c>
      <c r="P104" s="17" t="s">
        <v>516</v>
      </c>
      <c r="Q104" s="13" t="s">
        <v>447</v>
      </c>
      <c r="R104" s="50">
        <v>788891516</v>
      </c>
      <c r="S104" s="51" t="s">
        <v>1566</v>
      </c>
    </row>
    <row r="105" spans="1:19" ht="17" x14ac:dyDescent="0.2">
      <c r="A105" s="6"/>
      <c r="B105" s="13"/>
      <c r="C105" s="13" t="s">
        <v>485</v>
      </c>
      <c r="D105" s="13" t="s">
        <v>1545</v>
      </c>
      <c r="E105" s="187" t="s">
        <v>1561</v>
      </c>
      <c r="F105" s="13" t="s">
        <v>2299</v>
      </c>
      <c r="G105" s="13"/>
      <c r="H105" s="45"/>
      <c r="I105" s="12"/>
      <c r="J105" s="12"/>
      <c r="K105" s="6"/>
      <c r="L105" s="13" t="s">
        <v>2351</v>
      </c>
      <c r="M105" s="13"/>
      <c r="N105" s="6"/>
      <c r="O105" s="122" t="s">
        <v>1241</v>
      </c>
      <c r="P105" s="17" t="s">
        <v>516</v>
      </c>
      <c r="Q105" s="13" t="s">
        <v>447</v>
      </c>
      <c r="R105" s="50">
        <v>788891496</v>
      </c>
      <c r="S105" s="99" t="s">
        <v>190</v>
      </c>
    </row>
    <row r="106" spans="1:19" ht="17" x14ac:dyDescent="0.2">
      <c r="A106" s="6"/>
      <c r="B106" s="13"/>
      <c r="C106" s="13" t="s">
        <v>485</v>
      </c>
      <c r="D106" s="13" t="s">
        <v>1546</v>
      </c>
      <c r="E106" s="13" t="s">
        <v>1694</v>
      </c>
      <c r="F106" s="13" t="s">
        <v>2300</v>
      </c>
      <c r="G106" s="13"/>
      <c r="H106" s="45"/>
      <c r="I106" s="12"/>
      <c r="J106" s="12"/>
      <c r="K106" s="6"/>
      <c r="L106" s="13" t="s">
        <v>2351</v>
      </c>
      <c r="M106" s="298"/>
      <c r="N106" s="6"/>
      <c r="O106" s="122" t="s">
        <v>1241</v>
      </c>
      <c r="P106" s="17" t="s">
        <v>516</v>
      </c>
      <c r="Q106" s="13" t="s">
        <v>447</v>
      </c>
      <c r="R106" s="50">
        <v>788891496</v>
      </c>
      <c r="S106" s="51" t="s">
        <v>1566</v>
      </c>
    </row>
    <row r="107" spans="1:19" ht="17" customHeight="1" x14ac:dyDescent="0.2">
      <c r="A107" s="6"/>
      <c r="B107" s="13"/>
      <c r="C107" s="13" t="s">
        <v>485</v>
      </c>
      <c r="D107" s="13" t="s">
        <v>1742</v>
      </c>
      <c r="E107" s="54" t="s">
        <v>1746</v>
      </c>
      <c r="F107" s="13" t="s">
        <v>2301</v>
      </c>
      <c r="G107" s="13"/>
      <c r="H107" s="13"/>
      <c r="I107" s="12"/>
      <c r="J107" s="12"/>
      <c r="K107" s="6"/>
      <c r="L107" s="13" t="s">
        <v>2351</v>
      </c>
      <c r="M107" s="129" t="s">
        <v>2352</v>
      </c>
      <c r="N107" s="6"/>
      <c r="O107" s="122" t="s">
        <v>1735</v>
      </c>
      <c r="P107" s="6"/>
      <c r="Q107" s="13" t="s">
        <v>447</v>
      </c>
      <c r="R107" s="50">
        <v>542082675</v>
      </c>
      <c r="S107" s="99" t="s">
        <v>1748</v>
      </c>
    </row>
    <row r="108" spans="1:19" ht="17" x14ac:dyDescent="0.2">
      <c r="A108" s="6"/>
      <c r="B108" s="54" t="s">
        <v>1815</v>
      </c>
      <c r="C108" s="13" t="s">
        <v>485</v>
      </c>
      <c r="D108" s="13" t="s">
        <v>1743</v>
      </c>
      <c r="E108" s="54" t="s">
        <v>1745</v>
      </c>
      <c r="F108" s="13" t="s">
        <v>2302</v>
      </c>
      <c r="G108" s="13"/>
      <c r="H108" s="45"/>
      <c r="I108" s="12"/>
      <c r="J108" s="12"/>
      <c r="K108" s="6"/>
      <c r="L108" s="13" t="s">
        <v>2351</v>
      </c>
      <c r="M108" s="129" t="s">
        <v>2352</v>
      </c>
      <c r="N108" s="6"/>
      <c r="O108" s="122" t="s">
        <v>1735</v>
      </c>
      <c r="P108" s="6"/>
      <c r="Q108" s="13" t="s">
        <v>447</v>
      </c>
      <c r="R108" s="50">
        <v>542082675</v>
      </c>
      <c r="S108" s="51" t="s">
        <v>190</v>
      </c>
    </row>
    <row r="109" spans="1:19" ht="17" x14ac:dyDescent="0.2">
      <c r="A109" s="6"/>
      <c r="B109" s="13"/>
      <c r="C109" s="13" t="s">
        <v>485</v>
      </c>
      <c r="D109" s="13" t="s">
        <v>1744</v>
      </c>
      <c r="E109" s="187" t="s">
        <v>1747</v>
      </c>
      <c r="F109" s="13" t="s">
        <v>2303</v>
      </c>
      <c r="G109" s="13" t="s">
        <v>1801</v>
      </c>
      <c r="H109" s="46"/>
      <c r="I109" s="12"/>
      <c r="J109" s="12"/>
      <c r="K109" s="6" t="s">
        <v>2374</v>
      </c>
      <c r="L109" s="13" t="s">
        <v>2351</v>
      </c>
      <c r="M109" s="13" t="s">
        <v>1551</v>
      </c>
      <c r="N109" s="6"/>
      <c r="O109" s="122" t="s">
        <v>1735</v>
      </c>
      <c r="P109" s="6"/>
      <c r="Q109" s="6"/>
      <c r="R109" s="50"/>
      <c r="S109" s="99" t="s">
        <v>223</v>
      </c>
    </row>
    <row r="110" spans="1:19" ht="17" x14ac:dyDescent="0.2">
      <c r="A110" s="6"/>
      <c r="B110" s="13"/>
      <c r="C110" s="13" t="s">
        <v>485</v>
      </c>
      <c r="D110" s="13"/>
      <c r="E110" s="13"/>
      <c r="F110" s="13" t="s">
        <v>2255</v>
      </c>
      <c r="G110" s="13"/>
      <c r="H110" s="45"/>
      <c r="I110" s="12"/>
      <c r="J110" s="12"/>
      <c r="K110" s="6"/>
      <c r="L110" s="13"/>
      <c r="M110" s="298"/>
      <c r="N110" s="6"/>
      <c r="O110" s="122" t="s">
        <v>1735</v>
      </c>
      <c r="P110" s="6"/>
      <c r="Q110" s="6"/>
      <c r="R110" s="50"/>
      <c r="S110" s="51"/>
    </row>
    <row r="111" spans="1:19" s="125" customFormat="1" ht="61.25" customHeight="1" x14ac:dyDescent="0.2">
      <c r="A111" s="6"/>
      <c r="B111" s="13"/>
      <c r="C111" s="13" t="s">
        <v>485</v>
      </c>
      <c r="D111" s="13" t="s">
        <v>1737</v>
      </c>
      <c r="E111" s="38" t="s">
        <v>2468</v>
      </c>
      <c r="F111" s="38" t="s">
        <v>2441</v>
      </c>
      <c r="G111" s="13"/>
      <c r="H111" s="13"/>
      <c r="I111" s="329" t="s">
        <v>2419</v>
      </c>
      <c r="J111" s="51"/>
      <c r="K111" s="53" t="s">
        <v>2375</v>
      </c>
      <c r="L111" s="13" t="s">
        <v>2351</v>
      </c>
      <c r="M111" s="12"/>
      <c r="N111" s="53"/>
      <c r="O111" s="122" t="s">
        <v>1736</v>
      </c>
      <c r="P111" s="17" t="s">
        <v>1735</v>
      </c>
      <c r="Q111" s="13" t="s">
        <v>447</v>
      </c>
      <c r="R111" s="50">
        <v>5464</v>
      </c>
      <c r="S111" s="99" t="s">
        <v>190</v>
      </c>
    </row>
    <row r="112" spans="1:19" s="125" customFormat="1" ht="44.5" customHeight="1" x14ac:dyDescent="0.2">
      <c r="A112" s="6"/>
      <c r="B112" s="54"/>
      <c r="C112" s="13" t="s">
        <v>485</v>
      </c>
      <c r="D112" s="13" t="s">
        <v>1738</v>
      </c>
      <c r="E112" s="38" t="s">
        <v>2469</v>
      </c>
      <c r="F112" s="38" t="s">
        <v>2442</v>
      </c>
      <c r="G112" s="13"/>
      <c r="H112" s="42"/>
      <c r="I112" s="329" t="s">
        <v>2419</v>
      </c>
      <c r="J112" s="51"/>
      <c r="K112" s="53" t="s">
        <v>1804</v>
      </c>
      <c r="L112" s="13" t="s">
        <v>2351</v>
      </c>
      <c r="M112" s="5"/>
      <c r="N112" s="53"/>
      <c r="O112" s="122" t="s">
        <v>1736</v>
      </c>
      <c r="P112" s="17" t="s">
        <v>1735</v>
      </c>
      <c r="Q112" s="13" t="s">
        <v>447</v>
      </c>
      <c r="R112" s="50"/>
      <c r="S112" s="12" t="s">
        <v>1780</v>
      </c>
    </row>
    <row r="113" spans="1:19" ht="17" x14ac:dyDescent="0.2">
      <c r="A113" s="6"/>
      <c r="B113" s="13"/>
      <c r="C113" s="13" t="s">
        <v>485</v>
      </c>
      <c r="D113" s="13" t="s">
        <v>1806</v>
      </c>
      <c r="E113" s="187" t="s">
        <v>1776</v>
      </c>
      <c r="F113" s="13" t="s">
        <v>2304</v>
      </c>
      <c r="G113" s="13" t="s">
        <v>1778</v>
      </c>
      <c r="H113" s="46"/>
      <c r="I113" s="12"/>
      <c r="J113" s="12"/>
      <c r="K113" s="6" t="s">
        <v>2376</v>
      </c>
      <c r="L113" s="13"/>
      <c r="M113" s="13"/>
      <c r="N113" s="6"/>
      <c r="O113" s="122" t="s">
        <v>1736</v>
      </c>
      <c r="P113" s="17" t="s">
        <v>1735</v>
      </c>
      <c r="Q113" s="13" t="s">
        <v>447</v>
      </c>
      <c r="R113" s="50">
        <v>5234</v>
      </c>
      <c r="S113" s="99" t="s">
        <v>1749</v>
      </c>
    </row>
    <row r="114" spans="1:19" ht="17" x14ac:dyDescent="0.2">
      <c r="A114" s="6"/>
      <c r="B114" s="13"/>
      <c r="C114" s="13" t="s">
        <v>485</v>
      </c>
      <c r="D114" s="13" t="s">
        <v>1807</v>
      </c>
      <c r="E114" s="187"/>
      <c r="F114" s="13" t="s">
        <v>2305</v>
      </c>
      <c r="G114" s="13" t="s">
        <v>1779</v>
      </c>
      <c r="H114" s="46"/>
      <c r="I114" s="12"/>
      <c r="J114" s="12"/>
      <c r="K114" s="6" t="s">
        <v>2377</v>
      </c>
      <c r="L114" s="13"/>
      <c r="M114" s="298"/>
      <c r="N114" s="6"/>
      <c r="O114" s="122" t="s">
        <v>1736</v>
      </c>
      <c r="P114" s="17" t="s">
        <v>1735</v>
      </c>
      <c r="Q114" s="13" t="s">
        <v>447</v>
      </c>
      <c r="R114" s="50">
        <v>5234</v>
      </c>
      <c r="S114" s="51" t="s">
        <v>1750</v>
      </c>
    </row>
    <row r="115" spans="1:19" ht="16" customHeight="1" x14ac:dyDescent="0.2">
      <c r="A115" s="6"/>
      <c r="B115" s="45"/>
      <c r="C115" s="13" t="s">
        <v>485</v>
      </c>
      <c r="D115" s="13" t="s">
        <v>1806</v>
      </c>
      <c r="E115" s="187" t="s">
        <v>1777</v>
      </c>
      <c r="F115" s="13" t="s">
        <v>2304</v>
      </c>
      <c r="G115" s="13" t="s">
        <v>1778</v>
      </c>
      <c r="H115" s="13"/>
      <c r="I115" s="12"/>
      <c r="J115" s="12"/>
      <c r="K115" s="6" t="s">
        <v>2378</v>
      </c>
      <c r="L115" s="26"/>
      <c r="M115" s="26"/>
      <c r="N115" s="6"/>
      <c r="O115" s="122" t="s">
        <v>1736</v>
      </c>
      <c r="P115" s="17" t="s">
        <v>1735</v>
      </c>
      <c r="Q115" s="13" t="s">
        <v>447</v>
      </c>
      <c r="R115" s="50">
        <v>5247</v>
      </c>
      <c r="S115" s="99" t="s">
        <v>1749</v>
      </c>
    </row>
    <row r="116" spans="1:19" ht="17" x14ac:dyDescent="0.2">
      <c r="A116" s="6"/>
      <c r="B116" s="45"/>
      <c r="C116" s="13" t="s">
        <v>485</v>
      </c>
      <c r="D116" s="13" t="s">
        <v>1807</v>
      </c>
      <c r="E116" s="13"/>
      <c r="F116" s="13" t="s">
        <v>2305</v>
      </c>
      <c r="G116" s="13" t="s">
        <v>1779</v>
      </c>
      <c r="H116" s="13"/>
      <c r="I116" s="12"/>
      <c r="J116" s="12"/>
      <c r="K116" s="6" t="s">
        <v>2379</v>
      </c>
      <c r="L116" s="26"/>
      <c r="M116" s="26"/>
      <c r="N116" s="6"/>
      <c r="O116" s="122" t="s">
        <v>1736</v>
      </c>
      <c r="P116" s="17" t="s">
        <v>1735</v>
      </c>
      <c r="Q116" s="13" t="s">
        <v>447</v>
      </c>
      <c r="R116" s="50">
        <v>5247</v>
      </c>
      <c r="S116" s="99" t="s">
        <v>1750</v>
      </c>
    </row>
    <row r="117" spans="1:19" ht="42" customHeight="1" x14ac:dyDescent="0.2">
      <c r="A117" s="6"/>
      <c r="B117" s="685" t="s">
        <v>954</v>
      </c>
      <c r="C117" s="13" t="s">
        <v>485</v>
      </c>
      <c r="D117" s="13" t="s">
        <v>639</v>
      </c>
      <c r="E117" s="13"/>
      <c r="F117" s="13" t="s">
        <v>2306</v>
      </c>
      <c r="G117" s="13"/>
      <c r="H117" s="13"/>
      <c r="I117" s="12"/>
      <c r="J117" s="12"/>
      <c r="K117" s="6"/>
      <c r="L117" s="684" t="s">
        <v>2352</v>
      </c>
      <c r="M117" s="187" t="s">
        <v>2351</v>
      </c>
      <c r="N117" s="6"/>
      <c r="O117" s="122" t="s">
        <v>969</v>
      </c>
      <c r="P117" s="6"/>
      <c r="Q117" s="13"/>
      <c r="R117" s="50">
        <v>542082535</v>
      </c>
      <c r="S117" s="99" t="s">
        <v>190</v>
      </c>
    </row>
    <row r="118" spans="1:19" ht="34" x14ac:dyDescent="0.2">
      <c r="A118" s="6"/>
      <c r="B118" s="54" t="s">
        <v>1159</v>
      </c>
      <c r="C118" s="13" t="s">
        <v>485</v>
      </c>
      <c r="D118" s="13" t="s">
        <v>641</v>
      </c>
      <c r="E118" s="13"/>
      <c r="F118" s="13" t="s">
        <v>2307</v>
      </c>
      <c r="G118" s="99"/>
      <c r="H118" s="13"/>
      <c r="I118" s="12"/>
      <c r="J118" s="12"/>
      <c r="K118" s="6"/>
      <c r="L118" s="129" t="s">
        <v>2352</v>
      </c>
      <c r="M118" s="13" t="s">
        <v>2351</v>
      </c>
      <c r="N118" s="6"/>
      <c r="O118" s="122" t="s">
        <v>969</v>
      </c>
      <c r="P118" s="6"/>
      <c r="Q118" s="13"/>
      <c r="R118" s="50"/>
      <c r="S118" s="13" t="s">
        <v>221</v>
      </c>
    </row>
    <row r="119" spans="1:19" ht="34" x14ac:dyDescent="0.2">
      <c r="A119" s="6"/>
      <c r="B119" s="54" t="s">
        <v>1159</v>
      </c>
      <c r="C119" s="13" t="s">
        <v>485</v>
      </c>
      <c r="D119" s="13" t="s">
        <v>640</v>
      </c>
      <c r="E119" s="13"/>
      <c r="F119" s="13" t="s">
        <v>2308</v>
      </c>
      <c r="G119" s="13" t="s">
        <v>964</v>
      </c>
      <c r="H119" s="13"/>
      <c r="I119" s="12"/>
      <c r="J119" s="12"/>
      <c r="K119" s="6"/>
      <c r="L119" s="129" t="s">
        <v>2352</v>
      </c>
      <c r="M119" s="64" t="s">
        <v>49</v>
      </c>
      <c r="N119" s="6"/>
      <c r="O119" s="122" t="s">
        <v>969</v>
      </c>
      <c r="P119" s="6"/>
      <c r="Q119" s="13"/>
      <c r="R119" s="50"/>
      <c r="S119" s="13" t="s">
        <v>951</v>
      </c>
    </row>
    <row r="120" spans="1:19" ht="16" customHeight="1" x14ac:dyDescent="0.2">
      <c r="A120" s="6"/>
      <c r="B120" s="13" t="s">
        <v>1160</v>
      </c>
      <c r="C120" s="13" t="s">
        <v>485</v>
      </c>
      <c r="D120" s="13" t="s">
        <v>642</v>
      </c>
      <c r="E120" s="13"/>
      <c r="F120" s="13" t="s">
        <v>2309</v>
      </c>
      <c r="G120" s="13"/>
      <c r="H120" s="13"/>
      <c r="I120" s="12"/>
      <c r="J120" s="12"/>
      <c r="K120" s="6"/>
      <c r="L120" s="683" t="s">
        <v>2352</v>
      </c>
      <c r="M120" s="735" t="s">
        <v>2351</v>
      </c>
      <c r="N120" s="6"/>
      <c r="O120" s="122" t="s">
        <v>643</v>
      </c>
      <c r="P120" s="17" t="s">
        <v>2231</v>
      </c>
      <c r="Q120" s="13" t="s">
        <v>447</v>
      </c>
      <c r="R120" s="50">
        <v>78891553</v>
      </c>
      <c r="S120" s="99" t="s">
        <v>190</v>
      </c>
    </row>
    <row r="121" spans="1:19" ht="17" x14ac:dyDescent="0.2">
      <c r="A121" s="6"/>
      <c r="B121" s="54" t="s">
        <v>1160</v>
      </c>
      <c r="C121" s="13" t="s">
        <v>485</v>
      </c>
      <c r="D121" s="13" t="s">
        <v>644</v>
      </c>
      <c r="E121" s="13"/>
      <c r="F121" s="13" t="s">
        <v>2310</v>
      </c>
      <c r="G121" s="45"/>
      <c r="H121" s="13"/>
      <c r="I121" s="12"/>
      <c r="J121" s="12"/>
      <c r="K121" s="6"/>
      <c r="L121" s="13" t="s">
        <v>2351</v>
      </c>
      <c r="M121" s="13" t="s">
        <v>2351</v>
      </c>
      <c r="N121" s="6"/>
      <c r="O121" s="122" t="s">
        <v>643</v>
      </c>
      <c r="P121" s="17" t="s">
        <v>2231</v>
      </c>
      <c r="Q121" s="13" t="s">
        <v>447</v>
      </c>
      <c r="R121" s="50">
        <v>78891556</v>
      </c>
      <c r="S121" s="13" t="s">
        <v>1157</v>
      </c>
    </row>
    <row r="122" spans="1:19" ht="17" x14ac:dyDescent="0.2">
      <c r="A122" s="6"/>
      <c r="B122" s="13"/>
      <c r="C122" s="13" t="s">
        <v>485</v>
      </c>
      <c r="D122" s="13"/>
      <c r="E122" s="13"/>
      <c r="F122" s="13" t="s">
        <v>2255</v>
      </c>
      <c r="G122" s="355" t="s">
        <v>1158</v>
      </c>
      <c r="H122" s="13"/>
      <c r="I122" s="12"/>
      <c r="J122" s="12"/>
      <c r="K122" s="6"/>
      <c r="L122" s="54"/>
      <c r="M122" s="54"/>
      <c r="N122" s="6"/>
      <c r="O122" s="122" t="s">
        <v>643</v>
      </c>
      <c r="P122" s="17" t="s">
        <v>2231</v>
      </c>
      <c r="Q122" s="13"/>
      <c r="R122" s="54"/>
      <c r="S122" s="688" t="s">
        <v>1156</v>
      </c>
    </row>
    <row r="123" spans="1:19" ht="17" x14ac:dyDescent="0.2">
      <c r="A123" s="6"/>
      <c r="B123" s="13"/>
      <c r="C123" s="13" t="s">
        <v>485</v>
      </c>
      <c r="D123" s="13"/>
      <c r="E123" s="13"/>
      <c r="F123" s="13" t="s">
        <v>2255</v>
      </c>
      <c r="G123" s="13"/>
      <c r="H123" s="13"/>
      <c r="I123" s="12"/>
      <c r="J123" s="12"/>
      <c r="K123" s="6"/>
      <c r="L123" s="298"/>
      <c r="M123" s="13"/>
      <c r="N123" s="6"/>
      <c r="O123" s="122" t="s">
        <v>643</v>
      </c>
      <c r="P123" s="17" t="s">
        <v>2231</v>
      </c>
      <c r="Q123" s="13"/>
      <c r="R123" s="50"/>
      <c r="S123" s="51"/>
    </row>
    <row r="124" spans="1:19" ht="16" customHeight="1" x14ac:dyDescent="0.2">
      <c r="A124" s="6"/>
      <c r="B124" s="13" t="s">
        <v>1161</v>
      </c>
      <c r="C124" s="13" t="s">
        <v>485</v>
      </c>
      <c r="D124" s="13" t="s">
        <v>645</v>
      </c>
      <c r="E124" s="13"/>
      <c r="F124" s="13" t="s">
        <v>2311</v>
      </c>
      <c r="G124" s="13"/>
      <c r="H124" s="13"/>
      <c r="I124" s="12"/>
      <c r="J124" s="12"/>
      <c r="K124" s="6"/>
      <c r="L124" s="683" t="s">
        <v>2352</v>
      </c>
      <c r="M124" s="735" t="s">
        <v>2351</v>
      </c>
      <c r="N124" s="6"/>
      <c r="O124" s="122" t="s">
        <v>646</v>
      </c>
      <c r="P124" s="17" t="s">
        <v>2231</v>
      </c>
      <c r="Q124" s="13" t="s">
        <v>447</v>
      </c>
      <c r="R124" s="50">
        <v>78891501</v>
      </c>
      <c r="S124" s="99" t="s">
        <v>190</v>
      </c>
    </row>
    <row r="125" spans="1:19" ht="17" x14ac:dyDescent="0.2">
      <c r="A125" s="6"/>
      <c r="B125" s="54" t="s">
        <v>1162</v>
      </c>
      <c r="C125" s="13" t="s">
        <v>485</v>
      </c>
      <c r="D125" s="13" t="s">
        <v>647</v>
      </c>
      <c r="E125" s="13"/>
      <c r="F125" s="13" t="s">
        <v>2312</v>
      </c>
      <c r="G125" s="13"/>
      <c r="H125" s="13"/>
      <c r="I125" s="12"/>
      <c r="J125" s="12"/>
      <c r="K125" s="6"/>
      <c r="L125" s="684" t="s">
        <v>2352</v>
      </c>
      <c r="M125" s="13" t="s">
        <v>2351</v>
      </c>
      <c r="N125" s="6"/>
      <c r="O125" s="122" t="s">
        <v>646</v>
      </c>
      <c r="P125" s="17" t="s">
        <v>2231</v>
      </c>
      <c r="Q125" s="13" t="s">
        <v>447</v>
      </c>
      <c r="R125" s="50">
        <v>78891501</v>
      </c>
      <c r="S125" s="13" t="s">
        <v>1163</v>
      </c>
    </row>
    <row r="126" spans="1:19" ht="17" x14ac:dyDescent="0.2">
      <c r="A126" s="6"/>
      <c r="B126" s="13"/>
      <c r="C126" s="13" t="s">
        <v>485</v>
      </c>
      <c r="D126" s="13" t="s">
        <v>648</v>
      </c>
      <c r="E126" s="13"/>
      <c r="F126" s="13" t="s">
        <v>2313</v>
      </c>
      <c r="G126" s="13" t="s">
        <v>1154</v>
      </c>
      <c r="H126" s="13"/>
      <c r="I126" s="12"/>
      <c r="J126" s="12"/>
      <c r="K126" s="6"/>
      <c r="L126" s="13" t="s">
        <v>2351</v>
      </c>
      <c r="M126" s="54" t="s">
        <v>2351</v>
      </c>
      <c r="N126" s="6"/>
      <c r="O126" s="122" t="s">
        <v>646</v>
      </c>
      <c r="P126" s="17" t="s">
        <v>2231</v>
      </c>
      <c r="Q126" s="13" t="s">
        <v>447</v>
      </c>
      <c r="R126" s="54">
        <v>78892009</v>
      </c>
      <c r="S126" s="13" t="s">
        <v>304</v>
      </c>
    </row>
    <row r="127" spans="1:19" ht="17" x14ac:dyDescent="0.2">
      <c r="A127" s="6"/>
      <c r="B127" s="13"/>
      <c r="C127" s="13" t="s">
        <v>485</v>
      </c>
      <c r="D127" s="13"/>
      <c r="E127" s="13"/>
      <c r="F127" s="13" t="s">
        <v>2255</v>
      </c>
      <c r="G127" s="13"/>
      <c r="H127" s="13"/>
      <c r="I127" s="12"/>
      <c r="J127" s="12"/>
      <c r="K127" s="6"/>
      <c r="L127" s="298"/>
      <c r="M127" s="13"/>
      <c r="N127" s="6"/>
      <c r="O127" s="122" t="s">
        <v>646</v>
      </c>
      <c r="P127" s="17" t="s">
        <v>2231</v>
      </c>
      <c r="Q127" s="13"/>
      <c r="R127" s="54">
        <v>78892009</v>
      </c>
      <c r="S127" s="51"/>
    </row>
    <row r="128" spans="1:19" ht="17" customHeight="1" x14ac:dyDescent="0.2">
      <c r="A128" s="6"/>
      <c r="B128" s="13" t="s">
        <v>1166</v>
      </c>
      <c r="C128" s="13" t="s">
        <v>485</v>
      </c>
      <c r="D128" s="13" t="s">
        <v>649</v>
      </c>
      <c r="E128" s="13"/>
      <c r="F128" s="13" t="s">
        <v>2314</v>
      </c>
      <c r="G128" s="13" t="s">
        <v>1154</v>
      </c>
      <c r="H128" s="13"/>
      <c r="I128" s="12"/>
      <c r="J128" s="12"/>
      <c r="K128" s="6"/>
      <c r="L128" s="12" t="s">
        <v>2351</v>
      </c>
      <c r="M128" s="735" t="s">
        <v>2351</v>
      </c>
      <c r="N128" s="6"/>
      <c r="O128" s="122" t="s">
        <v>650</v>
      </c>
      <c r="P128" s="17" t="s">
        <v>2231</v>
      </c>
      <c r="Q128" s="13" t="s">
        <v>447</v>
      </c>
      <c r="R128" s="50">
        <v>1579</v>
      </c>
      <c r="S128" s="99" t="s">
        <v>304</v>
      </c>
    </row>
    <row r="129" spans="1:19" ht="17" x14ac:dyDescent="0.2">
      <c r="A129" s="6"/>
      <c r="B129" s="689" t="s">
        <v>1165</v>
      </c>
      <c r="C129" s="13" t="s">
        <v>485</v>
      </c>
      <c r="D129" s="13" t="s">
        <v>651</v>
      </c>
      <c r="E129" s="13"/>
      <c r="F129" s="13" t="s">
        <v>2315</v>
      </c>
      <c r="G129" s="13" t="s">
        <v>1154</v>
      </c>
      <c r="H129" s="13"/>
      <c r="I129" s="12"/>
      <c r="J129" s="12"/>
      <c r="K129" s="6"/>
      <c r="L129" s="13" t="s">
        <v>2351</v>
      </c>
      <c r="M129" s="735" t="s">
        <v>2351</v>
      </c>
      <c r="N129" s="6"/>
      <c r="O129" s="122" t="s">
        <v>650</v>
      </c>
      <c r="P129" s="17" t="s">
        <v>2231</v>
      </c>
      <c r="Q129" s="13" t="s">
        <v>447</v>
      </c>
      <c r="R129" s="13">
        <v>1584</v>
      </c>
      <c r="S129" s="99" t="s">
        <v>304</v>
      </c>
    </row>
    <row r="130" spans="1:19" ht="17" x14ac:dyDescent="0.2">
      <c r="A130" s="6"/>
      <c r="B130" s="13" t="s">
        <v>1164</v>
      </c>
      <c r="C130" s="13" t="s">
        <v>485</v>
      </c>
      <c r="D130" s="13" t="s">
        <v>652</v>
      </c>
      <c r="E130" s="13"/>
      <c r="F130" s="13" t="s">
        <v>2316</v>
      </c>
      <c r="G130" s="13"/>
      <c r="H130" s="13"/>
      <c r="I130" s="12"/>
      <c r="J130" s="12"/>
      <c r="K130" s="6"/>
      <c r="L130" s="129" t="s">
        <v>2352</v>
      </c>
      <c r="M130" s="735" t="s">
        <v>2351</v>
      </c>
      <c r="N130" s="6"/>
      <c r="O130" s="122" t="s">
        <v>650</v>
      </c>
      <c r="P130" s="17" t="s">
        <v>2231</v>
      </c>
      <c r="Q130" s="13" t="s">
        <v>447</v>
      </c>
      <c r="R130" s="13">
        <v>788891583</v>
      </c>
      <c r="S130" s="99" t="s">
        <v>190</v>
      </c>
    </row>
    <row r="131" spans="1:19" ht="17" x14ac:dyDescent="0.2">
      <c r="A131" s="6"/>
      <c r="B131" s="13"/>
      <c r="C131" s="13" t="s">
        <v>485</v>
      </c>
      <c r="D131" s="13"/>
      <c r="E131" s="13"/>
      <c r="F131" s="13" t="s">
        <v>2255</v>
      </c>
      <c r="G131" s="13"/>
      <c r="H131" s="13"/>
      <c r="I131" s="12"/>
      <c r="J131" s="12"/>
      <c r="K131" s="6"/>
      <c r="L131" s="298"/>
      <c r="M131" s="13"/>
      <c r="N131" s="6"/>
      <c r="O131" s="122" t="s">
        <v>650</v>
      </c>
      <c r="P131" s="17" t="s">
        <v>2231</v>
      </c>
      <c r="Q131" s="13"/>
      <c r="R131" s="50"/>
      <c r="S131" s="51"/>
    </row>
    <row r="132" spans="1:19" ht="17" customHeight="1" x14ac:dyDescent="0.2">
      <c r="A132" s="6"/>
      <c r="B132" s="13" t="s">
        <v>1164</v>
      </c>
      <c r="C132" s="13" t="s">
        <v>485</v>
      </c>
      <c r="D132" s="13" t="s">
        <v>653</v>
      </c>
      <c r="E132" s="13"/>
      <c r="F132" s="13" t="s">
        <v>2317</v>
      </c>
      <c r="G132" s="13"/>
      <c r="H132" s="13"/>
      <c r="I132" s="12"/>
      <c r="J132" s="12"/>
      <c r="K132" s="6"/>
      <c r="L132" s="684" t="s">
        <v>2352</v>
      </c>
      <c r="M132" s="26" t="s">
        <v>2351</v>
      </c>
      <c r="N132" s="6"/>
      <c r="O132" s="122" t="s">
        <v>654</v>
      </c>
      <c r="P132" s="17" t="s">
        <v>2231</v>
      </c>
      <c r="Q132" s="13" t="s">
        <v>447</v>
      </c>
      <c r="R132" s="50">
        <v>78891510</v>
      </c>
      <c r="S132" s="99" t="s">
        <v>259</v>
      </c>
    </row>
    <row r="133" spans="1:19" ht="17" x14ac:dyDescent="0.2">
      <c r="A133" s="6"/>
      <c r="B133" s="13" t="s">
        <v>1164</v>
      </c>
      <c r="C133" s="13" t="s">
        <v>485</v>
      </c>
      <c r="D133" s="13" t="s">
        <v>668</v>
      </c>
      <c r="E133" s="13"/>
      <c r="F133" s="13" t="s">
        <v>2318</v>
      </c>
      <c r="G133" s="13"/>
      <c r="H133" s="13"/>
      <c r="I133" s="12"/>
      <c r="J133" s="12"/>
      <c r="K133" s="6"/>
      <c r="L133" s="129" t="s">
        <v>2352</v>
      </c>
      <c r="M133" s="54" t="s">
        <v>2351</v>
      </c>
      <c r="N133" s="6"/>
      <c r="O133" s="122" t="s">
        <v>654</v>
      </c>
      <c r="P133" s="17" t="s">
        <v>2231</v>
      </c>
      <c r="Q133" s="13" t="s">
        <v>447</v>
      </c>
      <c r="R133" s="50">
        <v>78891510</v>
      </c>
      <c r="S133" s="42" t="s">
        <v>190</v>
      </c>
    </row>
    <row r="134" spans="1:19" ht="17" x14ac:dyDescent="0.2">
      <c r="A134" s="6"/>
      <c r="B134" s="13" t="s">
        <v>1435</v>
      </c>
      <c r="C134" s="13" t="s">
        <v>485</v>
      </c>
      <c r="D134" s="13" t="s">
        <v>655</v>
      </c>
      <c r="E134" s="13"/>
      <c r="F134" s="13" t="s">
        <v>2319</v>
      </c>
      <c r="G134" s="13" t="s">
        <v>1154</v>
      </c>
      <c r="H134" s="13"/>
      <c r="I134" s="12"/>
      <c r="J134" s="12"/>
      <c r="K134" s="6"/>
      <c r="L134" s="13" t="s">
        <v>2353</v>
      </c>
      <c r="M134" s="13" t="s">
        <v>2351</v>
      </c>
      <c r="N134" s="6"/>
      <c r="O134" s="122" t="s">
        <v>654</v>
      </c>
      <c r="P134" s="17" t="s">
        <v>2231</v>
      </c>
      <c r="Q134" s="13" t="s">
        <v>447</v>
      </c>
      <c r="R134" s="50">
        <v>78891489</v>
      </c>
      <c r="S134" s="13" t="s">
        <v>304</v>
      </c>
    </row>
    <row r="135" spans="1:19" ht="17" x14ac:dyDescent="0.2">
      <c r="A135" s="6"/>
      <c r="B135" s="13"/>
      <c r="C135" s="13" t="s">
        <v>485</v>
      </c>
      <c r="D135" s="13"/>
      <c r="E135" s="13"/>
      <c r="F135" s="13" t="s">
        <v>2255</v>
      </c>
      <c r="G135" s="13"/>
      <c r="H135" s="13"/>
      <c r="I135" s="12"/>
      <c r="J135" s="12"/>
      <c r="K135" s="6"/>
      <c r="L135" s="13"/>
      <c r="M135" s="13"/>
      <c r="N135" s="6"/>
      <c r="O135" s="122" t="s">
        <v>654</v>
      </c>
      <c r="P135" s="17" t="s">
        <v>2231</v>
      </c>
      <c r="Q135" s="13" t="s">
        <v>447</v>
      </c>
      <c r="R135" s="50">
        <v>78891489</v>
      </c>
      <c r="S135" s="51"/>
    </row>
    <row r="136" spans="1:19" ht="16" customHeight="1" x14ac:dyDescent="0.2">
      <c r="A136" s="6"/>
      <c r="B136" s="13" t="s">
        <v>953</v>
      </c>
      <c r="C136" s="13" t="s">
        <v>485</v>
      </c>
      <c r="D136" s="13" t="s">
        <v>656</v>
      </c>
      <c r="E136" s="13"/>
      <c r="F136" s="13" t="s">
        <v>2320</v>
      </c>
      <c r="G136" s="13"/>
      <c r="H136" s="13"/>
      <c r="I136" s="12"/>
      <c r="J136" s="12"/>
      <c r="K136" s="6"/>
      <c r="L136" s="12" t="s">
        <v>2351</v>
      </c>
      <c r="M136" s="735" t="s">
        <v>2351</v>
      </c>
      <c r="N136" s="6"/>
      <c r="O136" s="122" t="s">
        <v>657</v>
      </c>
      <c r="P136" s="17" t="s">
        <v>2231</v>
      </c>
      <c r="Q136" s="13" t="s">
        <v>447</v>
      </c>
      <c r="R136" s="50">
        <v>78891975</v>
      </c>
      <c r="S136" s="99" t="s">
        <v>304</v>
      </c>
    </row>
    <row r="137" spans="1:19" ht="17" x14ac:dyDescent="0.2">
      <c r="A137" s="6"/>
      <c r="B137" s="54" t="s">
        <v>953</v>
      </c>
      <c r="C137" s="13" t="s">
        <v>485</v>
      </c>
      <c r="D137" s="13" t="s">
        <v>659</v>
      </c>
      <c r="E137" s="13"/>
      <c r="F137" s="13" t="s">
        <v>2321</v>
      </c>
      <c r="G137" s="13"/>
      <c r="H137" s="13"/>
      <c r="I137" s="12"/>
      <c r="J137" s="12"/>
      <c r="K137" s="6"/>
      <c r="L137" s="13" t="s">
        <v>2353</v>
      </c>
      <c r="M137" s="13" t="s">
        <v>2351</v>
      </c>
      <c r="N137" s="6"/>
      <c r="O137" s="122" t="s">
        <v>657</v>
      </c>
      <c r="P137" s="17" t="s">
        <v>2231</v>
      </c>
      <c r="Q137" s="13" t="s">
        <v>447</v>
      </c>
      <c r="R137" s="50">
        <v>78891490</v>
      </c>
      <c r="S137" s="13" t="s">
        <v>304</v>
      </c>
    </row>
    <row r="138" spans="1:19" ht="17" x14ac:dyDescent="0.2">
      <c r="A138" s="6"/>
      <c r="B138" s="46" t="s">
        <v>953</v>
      </c>
      <c r="C138" s="13" t="s">
        <v>485</v>
      </c>
      <c r="D138" s="13" t="s">
        <v>658</v>
      </c>
      <c r="E138" s="13"/>
      <c r="F138" s="13" t="s">
        <v>2322</v>
      </c>
      <c r="G138" s="685" t="s">
        <v>1168</v>
      </c>
      <c r="H138" s="13"/>
      <c r="I138" s="12"/>
      <c r="J138" s="12"/>
      <c r="K138" s="6"/>
      <c r="L138" s="129" t="s">
        <v>2352</v>
      </c>
      <c r="M138" s="54" t="s">
        <v>2351</v>
      </c>
      <c r="N138" s="6"/>
      <c r="O138" s="122" t="s">
        <v>657</v>
      </c>
      <c r="P138" s="17" t="s">
        <v>2231</v>
      </c>
      <c r="Q138" s="13" t="s">
        <v>447</v>
      </c>
      <c r="R138" s="54">
        <v>78891513</v>
      </c>
      <c r="S138" s="13" t="s">
        <v>190</v>
      </c>
    </row>
    <row r="139" spans="1:19" ht="17" x14ac:dyDescent="0.2">
      <c r="A139" s="6"/>
      <c r="B139" s="13"/>
      <c r="C139" s="13" t="s">
        <v>485</v>
      </c>
      <c r="D139" s="13"/>
      <c r="E139" s="13"/>
      <c r="F139" s="13" t="s">
        <v>2255</v>
      </c>
      <c r="G139" s="13"/>
      <c r="H139" s="13"/>
      <c r="I139" s="12"/>
      <c r="J139" s="12"/>
      <c r="K139" s="6"/>
      <c r="L139" s="298"/>
      <c r="M139" s="13"/>
      <c r="N139" s="6"/>
      <c r="O139" s="122" t="s">
        <v>657</v>
      </c>
      <c r="P139" s="17" t="s">
        <v>2231</v>
      </c>
      <c r="Q139" s="13"/>
      <c r="R139" s="50"/>
      <c r="S139" s="51"/>
    </row>
    <row r="140" spans="1:19" ht="16" customHeight="1" x14ac:dyDescent="0.2">
      <c r="A140" s="6"/>
      <c r="B140" s="13" t="s">
        <v>953</v>
      </c>
      <c r="C140" s="13" t="s">
        <v>485</v>
      </c>
      <c r="D140" s="13" t="s">
        <v>660</v>
      </c>
      <c r="E140" s="13"/>
      <c r="F140" s="13" t="s">
        <v>2323</v>
      </c>
      <c r="G140" s="13"/>
      <c r="H140" s="13"/>
      <c r="I140" s="12"/>
      <c r="J140" s="12"/>
      <c r="K140" s="6"/>
      <c r="L140" s="684" t="s">
        <v>2352</v>
      </c>
      <c r="M140" s="735" t="s">
        <v>2351</v>
      </c>
      <c r="N140" s="6"/>
      <c r="O140" s="122" t="s">
        <v>661</v>
      </c>
      <c r="P140" s="17" t="s">
        <v>2231</v>
      </c>
      <c r="Q140" s="13" t="s">
        <v>447</v>
      </c>
      <c r="R140" s="50">
        <v>78891509</v>
      </c>
      <c r="S140" s="99" t="s">
        <v>1163</v>
      </c>
    </row>
    <row r="141" spans="1:19" ht="17" x14ac:dyDescent="0.2">
      <c r="A141" s="6"/>
      <c r="B141" s="54"/>
      <c r="C141" s="13" t="s">
        <v>485</v>
      </c>
      <c r="D141" s="13" t="s">
        <v>663</v>
      </c>
      <c r="E141" s="13"/>
      <c r="F141" s="13" t="s">
        <v>2324</v>
      </c>
      <c r="G141" s="13"/>
      <c r="H141" s="13"/>
      <c r="I141" s="12"/>
      <c r="J141" s="12"/>
      <c r="K141" s="6"/>
      <c r="L141" s="129" t="s">
        <v>2352</v>
      </c>
      <c r="M141" s="54" t="s">
        <v>2351</v>
      </c>
      <c r="N141" s="6"/>
      <c r="O141" s="122" t="s">
        <v>661</v>
      </c>
      <c r="P141" s="17" t="s">
        <v>2231</v>
      </c>
      <c r="Q141" s="13" t="s">
        <v>447</v>
      </c>
      <c r="R141" s="50"/>
      <c r="S141" s="99" t="s">
        <v>190</v>
      </c>
    </row>
    <row r="142" spans="1:19" ht="17" x14ac:dyDescent="0.2">
      <c r="A142" s="6"/>
      <c r="B142" s="13" t="s">
        <v>1173</v>
      </c>
      <c r="C142" s="13" t="s">
        <v>485</v>
      </c>
      <c r="D142" s="13" t="s">
        <v>662</v>
      </c>
      <c r="E142" s="13"/>
      <c r="F142" s="13" t="s">
        <v>2325</v>
      </c>
      <c r="G142" s="689" t="s">
        <v>1165</v>
      </c>
      <c r="H142" s="13"/>
      <c r="I142" s="12"/>
      <c r="J142" s="12"/>
      <c r="K142" s="6"/>
      <c r="L142" s="13" t="s">
        <v>2353</v>
      </c>
      <c r="M142" s="13" t="s">
        <v>2351</v>
      </c>
      <c r="N142" s="6"/>
      <c r="O142" s="122" t="s">
        <v>661</v>
      </c>
      <c r="P142" s="17" t="s">
        <v>2231</v>
      </c>
      <c r="Q142" s="13" t="s">
        <v>447</v>
      </c>
      <c r="R142" s="50">
        <v>78891983</v>
      </c>
      <c r="S142" s="13" t="s">
        <v>304</v>
      </c>
    </row>
    <row r="143" spans="1:19" ht="17" x14ac:dyDescent="0.2">
      <c r="A143" s="6"/>
      <c r="B143" s="13"/>
      <c r="C143" s="13" t="s">
        <v>485</v>
      </c>
      <c r="D143" s="13"/>
      <c r="E143" s="13"/>
      <c r="F143" s="13" t="s">
        <v>2255</v>
      </c>
      <c r="G143" s="13"/>
      <c r="H143" s="13"/>
      <c r="I143" s="12"/>
      <c r="J143" s="12"/>
      <c r="K143" s="6"/>
      <c r="L143" s="298"/>
      <c r="M143" s="13"/>
      <c r="N143" s="6"/>
      <c r="O143" s="122" t="s">
        <v>661</v>
      </c>
      <c r="P143" s="17" t="s">
        <v>2231</v>
      </c>
      <c r="Q143" s="13"/>
      <c r="R143" s="50"/>
      <c r="S143" s="51"/>
    </row>
    <row r="144" spans="1:19" ht="119" x14ac:dyDescent="0.2">
      <c r="A144" s="122" t="s">
        <v>2494</v>
      </c>
      <c r="B144" s="690" t="s">
        <v>2355</v>
      </c>
      <c r="C144" s="13" t="s">
        <v>485</v>
      </c>
      <c r="D144" s="13" t="s">
        <v>664</v>
      </c>
      <c r="E144" s="668" t="s">
        <v>2346</v>
      </c>
      <c r="F144" s="38" t="s">
        <v>2356</v>
      </c>
      <c r="G144" s="646" t="s">
        <v>2365</v>
      </c>
      <c r="H144" s="692" t="s">
        <v>2357</v>
      </c>
      <c r="I144" s="702" t="s">
        <v>2443</v>
      </c>
      <c r="J144" s="719"/>
      <c r="K144" s="12"/>
      <c r="L144" s="12" t="s">
        <v>2351</v>
      </c>
      <c r="M144" s="12" t="s">
        <v>2351</v>
      </c>
      <c r="N144" s="6"/>
      <c r="O144" s="122" t="s">
        <v>665</v>
      </c>
      <c r="P144" s="17" t="s">
        <v>2231</v>
      </c>
      <c r="Q144" s="38" t="s">
        <v>2358</v>
      </c>
      <c r="R144" s="50">
        <v>78891566</v>
      </c>
      <c r="S144" s="99" t="s">
        <v>304</v>
      </c>
    </row>
    <row r="145" spans="1:19" ht="17" x14ac:dyDescent="0.2">
      <c r="A145" s="6"/>
      <c r="B145" s="54" t="s">
        <v>953</v>
      </c>
      <c r="C145" s="13" t="s">
        <v>485</v>
      </c>
      <c r="D145" s="13" t="s">
        <v>666</v>
      </c>
      <c r="E145" s="13"/>
      <c r="F145" s="13" t="s">
        <v>2326</v>
      </c>
      <c r="G145" s="13"/>
      <c r="H145" s="13"/>
      <c r="I145" s="12"/>
      <c r="J145" s="12"/>
      <c r="K145" s="6"/>
      <c r="L145" s="129" t="s">
        <v>2352</v>
      </c>
      <c r="M145" s="64" t="s">
        <v>49</v>
      </c>
      <c r="N145" s="6"/>
      <c r="O145" s="122" t="s">
        <v>665</v>
      </c>
      <c r="P145" s="17" t="s">
        <v>2231</v>
      </c>
      <c r="Q145" s="13" t="s">
        <v>447</v>
      </c>
      <c r="R145" s="54">
        <v>78891581</v>
      </c>
      <c r="S145" s="51" t="s">
        <v>1172</v>
      </c>
    </row>
    <row r="146" spans="1:19" ht="17" x14ac:dyDescent="0.2">
      <c r="A146" s="6"/>
      <c r="B146" s="13"/>
      <c r="C146" s="13" t="s">
        <v>485</v>
      </c>
      <c r="D146" s="13"/>
      <c r="E146" s="13"/>
      <c r="F146" s="13" t="s">
        <v>2255</v>
      </c>
      <c r="G146" s="13"/>
      <c r="H146" s="13"/>
      <c r="I146" s="12"/>
      <c r="J146" s="12"/>
      <c r="K146" s="6"/>
      <c r="L146" s="13"/>
      <c r="M146" s="187"/>
      <c r="N146" s="6"/>
      <c r="O146" s="122" t="s">
        <v>665</v>
      </c>
      <c r="P146" s="17" t="s">
        <v>2231</v>
      </c>
      <c r="Q146" s="13"/>
      <c r="R146" s="50"/>
      <c r="S146" s="188"/>
    </row>
    <row r="147" spans="1:19" ht="17" x14ac:dyDescent="0.2">
      <c r="A147" s="6"/>
      <c r="B147" s="13"/>
      <c r="C147" s="13" t="s">
        <v>485</v>
      </c>
      <c r="D147" s="13"/>
      <c r="E147" s="13"/>
      <c r="F147" s="13" t="s">
        <v>2255</v>
      </c>
      <c r="G147" s="13"/>
      <c r="H147" s="13"/>
      <c r="I147" s="12"/>
      <c r="J147" s="12"/>
      <c r="K147" s="6"/>
      <c r="L147" s="298"/>
      <c r="M147" s="13"/>
      <c r="N147" s="6"/>
      <c r="O147" s="122" t="s">
        <v>665</v>
      </c>
      <c r="P147" s="17" t="s">
        <v>2231</v>
      </c>
      <c r="Q147" s="13"/>
      <c r="R147" s="50"/>
      <c r="S147" s="51"/>
    </row>
    <row r="148" spans="1:19" ht="16" customHeight="1" x14ac:dyDescent="0.2">
      <c r="A148" s="6"/>
      <c r="B148" s="13"/>
      <c r="C148" s="13" t="s">
        <v>485</v>
      </c>
      <c r="D148" s="13" t="s">
        <v>669</v>
      </c>
      <c r="E148" s="13"/>
      <c r="F148" s="13" t="s">
        <v>2327</v>
      </c>
      <c r="G148" s="13"/>
      <c r="H148" s="13"/>
      <c r="I148" s="12"/>
      <c r="J148" s="12"/>
      <c r="K148" s="6"/>
      <c r="L148" s="12" t="s">
        <v>2351</v>
      </c>
      <c r="M148" s="187" t="s">
        <v>2351</v>
      </c>
      <c r="N148" s="6"/>
      <c r="O148" s="122" t="s">
        <v>671</v>
      </c>
      <c r="P148" s="17" t="s">
        <v>2231</v>
      </c>
      <c r="Q148" s="13" t="s">
        <v>447</v>
      </c>
      <c r="R148" s="50">
        <v>78891575</v>
      </c>
      <c r="S148" s="99" t="s">
        <v>304</v>
      </c>
    </row>
    <row r="149" spans="1:19" ht="17" x14ac:dyDescent="0.2">
      <c r="A149" s="6"/>
      <c r="B149" s="54"/>
      <c r="C149" s="13" t="s">
        <v>485</v>
      </c>
      <c r="D149" s="13" t="s">
        <v>670</v>
      </c>
      <c r="E149" s="13"/>
      <c r="F149" s="13" t="s">
        <v>2328</v>
      </c>
      <c r="G149" s="13"/>
      <c r="H149" s="13"/>
      <c r="I149" s="12"/>
      <c r="J149" s="12"/>
      <c r="K149" s="6"/>
      <c r="L149" s="129" t="s">
        <v>2352</v>
      </c>
      <c r="M149" s="64" t="s">
        <v>49</v>
      </c>
      <c r="N149" s="6"/>
      <c r="O149" s="122" t="s">
        <v>671</v>
      </c>
      <c r="P149" s="17" t="s">
        <v>2231</v>
      </c>
      <c r="Q149" s="13" t="s">
        <v>447</v>
      </c>
      <c r="R149" s="54">
        <v>78891578</v>
      </c>
      <c r="S149" s="51" t="s">
        <v>968</v>
      </c>
    </row>
    <row r="150" spans="1:19" ht="17" x14ac:dyDescent="0.2">
      <c r="A150" s="6"/>
      <c r="B150" s="13"/>
      <c r="C150" s="13" t="s">
        <v>485</v>
      </c>
      <c r="D150" s="42"/>
      <c r="E150" s="45"/>
      <c r="F150" s="13" t="s">
        <v>2255</v>
      </c>
      <c r="G150" s="13"/>
      <c r="H150" s="45"/>
      <c r="I150" s="12"/>
      <c r="J150" s="12"/>
      <c r="K150" s="6"/>
      <c r="L150" s="45"/>
      <c r="M150" s="45"/>
      <c r="N150" s="6"/>
      <c r="O150" s="122" t="s">
        <v>671</v>
      </c>
      <c r="P150" s="17" t="s">
        <v>2231</v>
      </c>
      <c r="Q150" s="13"/>
      <c r="R150" s="50"/>
      <c r="S150" s="188"/>
    </row>
    <row r="151" spans="1:19" ht="17" x14ac:dyDescent="0.2">
      <c r="A151" s="6"/>
      <c r="B151" s="13"/>
      <c r="C151" s="13" t="s">
        <v>485</v>
      </c>
      <c r="D151" s="13"/>
      <c r="E151" s="13"/>
      <c r="F151" s="13" t="s">
        <v>2255</v>
      </c>
      <c r="G151" s="13"/>
      <c r="H151" s="13"/>
      <c r="I151" s="12"/>
      <c r="J151" s="12"/>
      <c r="K151" s="6"/>
      <c r="L151" s="298"/>
      <c r="M151" s="13"/>
      <c r="N151" s="6"/>
      <c r="O151" s="122" t="s">
        <v>671</v>
      </c>
      <c r="P151" s="17" t="s">
        <v>2231</v>
      </c>
      <c r="Q151" s="13"/>
      <c r="R151" s="50"/>
      <c r="S151" s="51"/>
    </row>
    <row r="152" spans="1:19" ht="16" customHeight="1" x14ac:dyDescent="0.2">
      <c r="A152" s="6"/>
      <c r="B152" s="13" t="s">
        <v>1286</v>
      </c>
      <c r="C152" s="13" t="s">
        <v>485</v>
      </c>
      <c r="D152" s="13"/>
      <c r="E152" s="13"/>
      <c r="F152" s="13" t="s">
        <v>2255</v>
      </c>
      <c r="G152" s="13"/>
      <c r="H152" s="13"/>
      <c r="I152" s="12"/>
      <c r="J152" s="12"/>
      <c r="K152" s="6"/>
      <c r="L152" s="13"/>
      <c r="M152" s="13"/>
      <c r="N152" s="6"/>
      <c r="O152" s="122" t="s">
        <v>965</v>
      </c>
      <c r="P152" s="17" t="s">
        <v>2231</v>
      </c>
      <c r="Q152" s="13"/>
      <c r="R152" s="50"/>
      <c r="S152" s="99"/>
    </row>
    <row r="153" spans="1:19" ht="34" x14ac:dyDescent="0.2">
      <c r="A153" s="6"/>
      <c r="B153" s="13" t="s">
        <v>1286</v>
      </c>
      <c r="C153" s="13" t="s">
        <v>485</v>
      </c>
      <c r="D153" s="13" t="s">
        <v>966</v>
      </c>
      <c r="E153" s="13"/>
      <c r="F153" s="13" t="s">
        <v>2329</v>
      </c>
      <c r="G153" s="13" t="s">
        <v>2497</v>
      </c>
      <c r="H153" s="13"/>
      <c r="I153" s="12"/>
      <c r="J153" s="12"/>
      <c r="K153" s="6"/>
      <c r="L153" s="13" t="s">
        <v>2351</v>
      </c>
      <c r="M153" s="13" t="s">
        <v>2351</v>
      </c>
      <c r="N153" s="6"/>
      <c r="O153" s="122" t="s">
        <v>965</v>
      </c>
      <c r="P153" s="17" t="s">
        <v>2231</v>
      </c>
      <c r="Q153" s="13" t="s">
        <v>447</v>
      </c>
      <c r="R153" s="13">
        <v>78891563</v>
      </c>
      <c r="S153" s="38" t="s">
        <v>2496</v>
      </c>
    </row>
    <row r="154" spans="1:19" ht="17" x14ac:dyDescent="0.2">
      <c r="A154" s="6"/>
      <c r="B154" s="13" t="s">
        <v>1286</v>
      </c>
      <c r="C154" s="13" t="s">
        <v>485</v>
      </c>
      <c r="D154" s="13"/>
      <c r="E154" s="13"/>
      <c r="F154" s="13" t="s">
        <v>2255</v>
      </c>
      <c r="G154" s="13"/>
      <c r="H154" s="13"/>
      <c r="I154" s="12"/>
      <c r="J154" s="12"/>
      <c r="K154" s="6"/>
      <c r="L154" s="368" t="s">
        <v>1287</v>
      </c>
      <c r="M154" s="13"/>
      <c r="N154" s="6"/>
      <c r="O154" s="122" t="s">
        <v>965</v>
      </c>
      <c r="P154" s="17" t="s">
        <v>2231</v>
      </c>
      <c r="Q154" s="13"/>
      <c r="R154" s="50"/>
      <c r="S154" s="188" t="s">
        <v>1297</v>
      </c>
    </row>
    <row r="155" spans="1:19" ht="17" x14ac:dyDescent="0.2">
      <c r="A155" s="6"/>
      <c r="B155" s="13"/>
      <c r="C155" s="13" t="s">
        <v>485</v>
      </c>
      <c r="D155" s="13"/>
      <c r="E155" s="13"/>
      <c r="F155" s="13" t="s">
        <v>2255</v>
      </c>
      <c r="G155" s="13"/>
      <c r="H155" s="13"/>
      <c r="I155" s="12"/>
      <c r="J155" s="12"/>
      <c r="K155" s="6"/>
      <c r="L155" s="368" t="s">
        <v>1288</v>
      </c>
      <c r="M155" s="13"/>
      <c r="N155" s="6"/>
      <c r="O155" s="122" t="s">
        <v>965</v>
      </c>
      <c r="P155" s="17" t="s">
        <v>2231</v>
      </c>
      <c r="Q155" s="13"/>
      <c r="R155" s="50"/>
      <c r="S155" s="51" t="s">
        <v>1296</v>
      </c>
    </row>
    <row r="156" spans="1:19" ht="16" customHeight="1" x14ac:dyDescent="0.2">
      <c r="A156" s="6"/>
      <c r="B156" s="13"/>
      <c r="C156" s="13" t="s">
        <v>485</v>
      </c>
      <c r="D156" s="13" t="s">
        <v>1848</v>
      </c>
      <c r="E156" s="13" t="s">
        <v>1859</v>
      </c>
      <c r="F156" s="13" t="s">
        <v>2330</v>
      </c>
      <c r="G156" s="6"/>
      <c r="H156" s="13"/>
      <c r="I156" s="12"/>
      <c r="J156" s="12"/>
      <c r="K156" s="6"/>
      <c r="L156" s="187" t="s">
        <v>2351</v>
      </c>
      <c r="M156" s="187" t="s">
        <v>2351</v>
      </c>
      <c r="N156" s="6"/>
      <c r="O156" s="122" t="s">
        <v>672</v>
      </c>
      <c r="P156" s="6"/>
      <c r="Q156" s="13" t="s">
        <v>447</v>
      </c>
      <c r="R156" s="50">
        <v>542083091</v>
      </c>
      <c r="S156" s="99" t="s">
        <v>1902</v>
      </c>
    </row>
    <row r="157" spans="1:19" ht="16.75" customHeight="1" x14ac:dyDescent="0.2">
      <c r="A157" s="6"/>
      <c r="B157" s="54"/>
      <c r="C157" s="13" t="s">
        <v>485</v>
      </c>
      <c r="D157" s="13" t="s">
        <v>1849</v>
      </c>
      <c r="E157" s="13" t="s">
        <v>1858</v>
      </c>
      <c r="F157" s="13" t="s">
        <v>2331</v>
      </c>
      <c r="G157" s="6"/>
      <c r="H157" s="13"/>
      <c r="I157" s="694" t="s">
        <v>2367</v>
      </c>
      <c r="J157" s="497"/>
      <c r="K157" s="12" t="s">
        <v>2380</v>
      </c>
      <c r="L157" s="13" t="s">
        <v>2351</v>
      </c>
      <c r="M157" s="13"/>
      <c r="N157" s="6"/>
      <c r="O157" s="122" t="s">
        <v>672</v>
      </c>
      <c r="P157" s="6"/>
      <c r="Q157" s="13"/>
      <c r="R157" s="50"/>
      <c r="S157" s="12" t="s">
        <v>221</v>
      </c>
    </row>
    <row r="158" spans="1:19" ht="17" x14ac:dyDescent="0.2">
      <c r="A158" s="6"/>
      <c r="B158" s="13"/>
      <c r="C158" s="13" t="s">
        <v>485</v>
      </c>
      <c r="D158" s="13" t="s">
        <v>1905</v>
      </c>
      <c r="E158" s="13" t="s">
        <v>1850</v>
      </c>
      <c r="F158" s="13" t="s">
        <v>2332</v>
      </c>
      <c r="G158" s="6"/>
      <c r="H158" s="13"/>
      <c r="I158" s="12"/>
      <c r="J158" s="12"/>
      <c r="K158" s="6"/>
      <c r="L158" s="26" t="s">
        <v>2351</v>
      </c>
      <c r="M158" s="487"/>
      <c r="N158" s="6"/>
      <c r="O158" s="122" t="s">
        <v>672</v>
      </c>
      <c r="P158" s="6"/>
      <c r="Q158" s="13"/>
      <c r="R158" s="50"/>
      <c r="S158" s="13" t="s">
        <v>1901</v>
      </c>
    </row>
    <row r="159" spans="1:19" ht="17" x14ac:dyDescent="0.2">
      <c r="A159" s="6"/>
      <c r="B159" s="13"/>
      <c r="C159" s="13" t="s">
        <v>485</v>
      </c>
      <c r="D159" s="13" t="s">
        <v>1904</v>
      </c>
      <c r="E159" s="13"/>
      <c r="F159" s="13" t="s">
        <v>2333</v>
      </c>
      <c r="G159" s="6"/>
      <c r="H159" s="13"/>
      <c r="I159" s="12"/>
      <c r="J159" s="12"/>
      <c r="K159" s="6"/>
      <c r="L159" s="298"/>
      <c r="M159" s="13" t="s">
        <v>2351</v>
      </c>
      <c r="N159" s="6"/>
      <c r="O159" s="122" t="s">
        <v>672</v>
      </c>
      <c r="P159" s="6"/>
      <c r="Q159" s="13"/>
      <c r="R159" s="50" t="s">
        <v>447</v>
      </c>
      <c r="S159" s="51" t="s">
        <v>1903</v>
      </c>
    </row>
    <row r="160" spans="1:19" ht="16" customHeight="1" x14ac:dyDescent="0.2">
      <c r="A160" s="6"/>
      <c r="B160" s="45"/>
      <c r="C160" s="13" t="s">
        <v>485</v>
      </c>
      <c r="D160" s="13" t="s">
        <v>1179</v>
      </c>
      <c r="E160" s="13" t="s">
        <v>1276</v>
      </c>
      <c r="F160" s="13" t="s">
        <v>2334</v>
      </c>
      <c r="G160" s="6"/>
      <c r="H160" s="13"/>
      <c r="I160" s="12"/>
      <c r="J160" s="12"/>
      <c r="K160" s="6"/>
      <c r="L160" s="26" t="s">
        <v>2351</v>
      </c>
      <c r="M160" s="129" t="s">
        <v>2352</v>
      </c>
      <c r="N160" s="6"/>
      <c r="O160" s="122" t="s">
        <v>1174</v>
      </c>
      <c r="P160" s="6"/>
      <c r="Q160" s="13"/>
      <c r="R160" s="50">
        <v>542082739</v>
      </c>
      <c r="S160" s="99" t="s">
        <v>221</v>
      </c>
    </row>
    <row r="161" spans="1:19" ht="17" x14ac:dyDescent="0.2">
      <c r="A161" s="6"/>
      <c r="B161" s="45"/>
      <c r="C161" s="13" t="s">
        <v>485</v>
      </c>
      <c r="D161" s="13" t="s">
        <v>1180</v>
      </c>
      <c r="E161" s="13" t="s">
        <v>1274</v>
      </c>
      <c r="F161" s="13" t="s">
        <v>2335</v>
      </c>
      <c r="G161" s="6"/>
      <c r="H161" s="13"/>
      <c r="I161" s="12"/>
      <c r="J161" s="12"/>
      <c r="K161" s="6"/>
      <c r="L161" s="64" t="s">
        <v>49</v>
      </c>
      <c r="M161" s="26" t="s">
        <v>2351</v>
      </c>
      <c r="N161" s="6"/>
      <c r="O161" s="122" t="s">
        <v>1174</v>
      </c>
      <c r="P161" s="6"/>
      <c r="Q161" s="13"/>
      <c r="R161" s="50"/>
      <c r="S161" s="99" t="s">
        <v>1194</v>
      </c>
    </row>
    <row r="162" spans="1:19" ht="17" x14ac:dyDescent="0.2">
      <c r="A162" s="6"/>
      <c r="B162" s="45"/>
      <c r="C162" s="13" t="s">
        <v>485</v>
      </c>
      <c r="D162" s="13" t="s">
        <v>1181</v>
      </c>
      <c r="E162" s="13" t="s">
        <v>1273</v>
      </c>
      <c r="F162" s="13" t="s">
        <v>2336</v>
      </c>
      <c r="G162" s="6"/>
      <c r="H162" s="13"/>
      <c r="I162" s="12"/>
      <c r="J162" s="12"/>
      <c r="K162" s="6"/>
      <c r="L162" s="26" t="s">
        <v>2351</v>
      </c>
      <c r="M162" s="26" t="s">
        <v>2351</v>
      </c>
      <c r="N162" s="6"/>
      <c r="O162" s="122" t="s">
        <v>1174</v>
      </c>
      <c r="P162" s="6"/>
      <c r="Q162" s="13"/>
      <c r="R162" s="50"/>
      <c r="S162" s="99" t="s">
        <v>284</v>
      </c>
    </row>
    <row r="163" spans="1:19" ht="17" x14ac:dyDescent="0.2">
      <c r="A163" s="6"/>
      <c r="B163" s="45"/>
      <c r="C163" s="13" t="s">
        <v>485</v>
      </c>
      <c r="D163" s="13"/>
      <c r="E163" s="13"/>
      <c r="F163" s="13" t="s">
        <v>2255</v>
      </c>
      <c r="G163" s="6"/>
      <c r="H163" s="13"/>
      <c r="I163" s="12"/>
      <c r="J163" s="12"/>
      <c r="K163" s="6"/>
      <c r="L163" s="368"/>
      <c r="M163" s="26"/>
      <c r="N163" s="6"/>
      <c r="O163" s="122" t="s">
        <v>1174</v>
      </c>
      <c r="P163" s="6"/>
      <c r="Q163" s="13"/>
      <c r="R163" s="50"/>
      <c r="S163" s="99" t="s">
        <v>1296</v>
      </c>
    </row>
    <row r="164" spans="1:19" ht="16" customHeight="1" x14ac:dyDescent="0.2">
      <c r="A164" s="6"/>
      <c r="B164" s="45" t="s">
        <v>1294</v>
      </c>
      <c r="C164" s="13" t="s">
        <v>485</v>
      </c>
      <c r="D164" s="13" t="s">
        <v>1182</v>
      </c>
      <c r="E164" s="13" t="s">
        <v>1195</v>
      </c>
      <c r="F164" s="13" t="s">
        <v>2337</v>
      </c>
      <c r="G164" s="6"/>
      <c r="H164" s="13"/>
      <c r="I164" s="12"/>
      <c r="J164" s="12"/>
      <c r="K164" s="6"/>
      <c r="L164" s="26" t="s">
        <v>2351</v>
      </c>
      <c r="M164" s="129" t="s">
        <v>2352</v>
      </c>
      <c r="N164" s="6"/>
      <c r="O164" s="122" t="s">
        <v>1175</v>
      </c>
      <c r="P164" s="17" t="s">
        <v>1174</v>
      </c>
      <c r="Q164" s="13" t="s">
        <v>447</v>
      </c>
      <c r="R164" s="50">
        <v>788891582</v>
      </c>
      <c r="S164" s="99" t="s">
        <v>1289</v>
      </c>
    </row>
    <row r="165" spans="1:19" ht="17" x14ac:dyDescent="0.2">
      <c r="A165" s="6"/>
      <c r="B165" s="45"/>
      <c r="C165" s="13" t="s">
        <v>485</v>
      </c>
      <c r="D165" s="13" t="s">
        <v>1183</v>
      </c>
      <c r="E165" s="13" t="s">
        <v>1195</v>
      </c>
      <c r="F165" s="13" t="s">
        <v>2338</v>
      </c>
      <c r="G165" s="6"/>
      <c r="H165" s="13"/>
      <c r="I165" s="12"/>
      <c r="J165" s="12"/>
      <c r="K165" s="6"/>
      <c r="L165" s="64" t="s">
        <v>2351</v>
      </c>
      <c r="M165" s="26" t="s">
        <v>2352</v>
      </c>
      <c r="N165" s="6"/>
      <c r="O165" s="122" t="s">
        <v>1175</v>
      </c>
      <c r="P165" s="17" t="s">
        <v>1174</v>
      </c>
      <c r="Q165" s="13" t="s">
        <v>447</v>
      </c>
      <c r="R165" s="50"/>
      <c r="S165" s="99" t="s">
        <v>1292</v>
      </c>
    </row>
    <row r="166" spans="1:19" ht="17" x14ac:dyDescent="0.2">
      <c r="A166" s="6"/>
      <c r="B166" s="45"/>
      <c r="C166" s="13" t="s">
        <v>485</v>
      </c>
      <c r="D166" s="13" t="s">
        <v>1184</v>
      </c>
      <c r="E166" s="13" t="s">
        <v>1195</v>
      </c>
      <c r="F166" s="13" t="s">
        <v>2339</v>
      </c>
      <c r="G166" s="6"/>
      <c r="H166" s="13"/>
      <c r="I166" s="12"/>
      <c r="J166" s="12"/>
      <c r="K166" s="6"/>
      <c r="L166" s="26" t="s">
        <v>2351</v>
      </c>
      <c r="M166" s="26" t="s">
        <v>2352</v>
      </c>
      <c r="N166" s="6"/>
      <c r="O166" s="122" t="s">
        <v>1175</v>
      </c>
      <c r="P166" s="17" t="s">
        <v>1174</v>
      </c>
      <c r="Q166" s="13" t="s">
        <v>447</v>
      </c>
      <c r="R166" s="50">
        <v>788891565</v>
      </c>
      <c r="S166" s="99" t="s">
        <v>1289</v>
      </c>
    </row>
    <row r="167" spans="1:19" ht="17" x14ac:dyDescent="0.2">
      <c r="A167" s="6"/>
      <c r="B167" s="45"/>
      <c r="C167" s="13" t="s">
        <v>485</v>
      </c>
      <c r="D167" s="13" t="s">
        <v>1185</v>
      </c>
      <c r="E167" s="13" t="s">
        <v>1195</v>
      </c>
      <c r="F167" s="13" t="s">
        <v>2340</v>
      </c>
      <c r="G167" s="6"/>
      <c r="H167" s="13"/>
      <c r="I167" s="12"/>
      <c r="J167" s="12"/>
      <c r="K167" s="6"/>
      <c r="L167" s="368" t="s">
        <v>2351</v>
      </c>
      <c r="M167" s="26" t="s">
        <v>2352</v>
      </c>
      <c r="N167" s="6"/>
      <c r="O167" s="122" t="s">
        <v>1175</v>
      </c>
      <c r="P167" s="17" t="s">
        <v>1174</v>
      </c>
      <c r="Q167" s="13" t="s">
        <v>447</v>
      </c>
      <c r="R167" s="50"/>
      <c r="S167" s="99" t="s">
        <v>1292</v>
      </c>
    </row>
    <row r="168" spans="1:19" ht="16" customHeight="1" x14ac:dyDescent="0.2">
      <c r="A168" s="6"/>
      <c r="B168" s="45"/>
      <c r="C168" s="13" t="s">
        <v>485</v>
      </c>
      <c r="D168" s="13" t="s">
        <v>1186</v>
      </c>
      <c r="E168" s="13" t="s">
        <v>1274</v>
      </c>
      <c r="F168" s="13" t="s">
        <v>2341</v>
      </c>
      <c r="G168" s="6"/>
      <c r="H168" s="13"/>
      <c r="I168" s="12"/>
      <c r="J168" s="12"/>
      <c r="K168" s="6"/>
      <c r="L168" s="26" t="s">
        <v>49</v>
      </c>
      <c r="M168" s="129" t="s">
        <v>2351</v>
      </c>
      <c r="N168" s="6"/>
      <c r="O168" s="122" t="s">
        <v>1277</v>
      </c>
      <c r="P168" s="17" t="s">
        <v>1174</v>
      </c>
      <c r="Q168" s="13" t="s">
        <v>447</v>
      </c>
      <c r="R168" s="50">
        <v>788891577</v>
      </c>
      <c r="S168" s="99" t="s">
        <v>1290</v>
      </c>
    </row>
    <row r="169" spans="1:19" ht="34" x14ac:dyDescent="0.2">
      <c r="A169" s="6"/>
      <c r="B169" s="45"/>
      <c r="C169" s="13" t="s">
        <v>485</v>
      </c>
      <c r="D169" s="13" t="s">
        <v>1187</v>
      </c>
      <c r="E169" s="13" t="s">
        <v>1274</v>
      </c>
      <c r="F169" s="13" t="s">
        <v>2342</v>
      </c>
      <c r="G169" s="6"/>
      <c r="H169" s="13"/>
      <c r="I169" s="12"/>
      <c r="J169" s="12"/>
      <c r="K169" s="6"/>
      <c r="L169" s="64" t="s">
        <v>49</v>
      </c>
      <c r="M169" s="26" t="s">
        <v>2351</v>
      </c>
      <c r="N169" s="6"/>
      <c r="O169" s="122" t="s">
        <v>1277</v>
      </c>
      <c r="P169" s="17" t="s">
        <v>1174</v>
      </c>
      <c r="Q169" s="13" t="s">
        <v>447</v>
      </c>
      <c r="R169" s="50"/>
      <c r="S169" s="99" t="s">
        <v>1291</v>
      </c>
    </row>
    <row r="170" spans="1:19" ht="34" x14ac:dyDescent="0.2">
      <c r="A170" s="6"/>
      <c r="B170" s="45"/>
      <c r="C170" s="13" t="s">
        <v>485</v>
      </c>
      <c r="D170" s="13"/>
      <c r="E170" s="13"/>
      <c r="F170" s="13" t="s">
        <v>2255</v>
      </c>
      <c r="G170" s="6"/>
      <c r="H170" s="13"/>
      <c r="I170" s="12"/>
      <c r="J170" s="12"/>
      <c r="K170" s="6"/>
      <c r="L170" s="26" t="s">
        <v>1469</v>
      </c>
      <c r="M170" s="26"/>
      <c r="N170" s="6"/>
      <c r="O170" s="122" t="s">
        <v>1277</v>
      </c>
      <c r="P170" s="17" t="s">
        <v>1174</v>
      </c>
      <c r="Q170" s="13"/>
      <c r="R170" s="50"/>
      <c r="S170" s="99"/>
    </row>
    <row r="171" spans="1:19" ht="34" x14ac:dyDescent="0.2">
      <c r="A171" s="6"/>
      <c r="B171" s="45"/>
      <c r="C171" s="13" t="s">
        <v>485</v>
      </c>
      <c r="D171" s="13"/>
      <c r="E171" s="13"/>
      <c r="F171" s="13" t="s">
        <v>2255</v>
      </c>
      <c r="G171" s="6"/>
      <c r="H171" s="13"/>
      <c r="I171" s="12"/>
      <c r="J171" s="12"/>
      <c r="K171" s="6"/>
      <c r="L171" s="368" t="s">
        <v>1468</v>
      </c>
      <c r="M171" s="26"/>
      <c r="N171" s="6"/>
      <c r="O171" s="122" t="s">
        <v>1277</v>
      </c>
      <c r="P171" s="17" t="s">
        <v>1174</v>
      </c>
      <c r="Q171" s="13"/>
      <c r="R171" s="50"/>
      <c r="S171" s="99"/>
    </row>
    <row r="172" spans="1:19" ht="16" customHeight="1" x14ac:dyDescent="0.2">
      <c r="A172" s="6"/>
      <c r="B172" s="45"/>
      <c r="C172" s="13" t="s">
        <v>485</v>
      </c>
      <c r="D172" s="13" t="s">
        <v>1188</v>
      </c>
      <c r="E172" s="13" t="s">
        <v>1275</v>
      </c>
      <c r="F172" s="13" t="s">
        <v>2343</v>
      </c>
      <c r="G172" s="6"/>
      <c r="H172" s="13"/>
      <c r="I172" s="12"/>
      <c r="J172" s="12"/>
      <c r="K172" s="6"/>
      <c r="L172" s="26" t="s">
        <v>2351</v>
      </c>
      <c r="M172" s="129" t="s">
        <v>2352</v>
      </c>
      <c r="N172" s="6"/>
      <c r="O172" s="122" t="s">
        <v>1177</v>
      </c>
      <c r="P172" s="17" t="s">
        <v>1174</v>
      </c>
      <c r="Q172" s="13" t="s">
        <v>2390</v>
      </c>
      <c r="R172" s="50">
        <v>788891557</v>
      </c>
      <c r="S172" s="99" t="s">
        <v>1289</v>
      </c>
    </row>
    <row r="173" spans="1:19" ht="17" x14ac:dyDescent="0.2">
      <c r="A173" s="6"/>
      <c r="B173" s="45"/>
      <c r="C173" s="13" t="s">
        <v>485</v>
      </c>
      <c r="D173" s="13" t="s">
        <v>1189</v>
      </c>
      <c r="E173" s="13"/>
      <c r="F173" s="13" t="s">
        <v>2344</v>
      </c>
      <c r="G173" s="6"/>
      <c r="H173" s="13"/>
      <c r="I173" s="12"/>
      <c r="J173" s="12"/>
      <c r="K173" s="6"/>
      <c r="L173" s="26" t="s">
        <v>2351</v>
      </c>
      <c r="M173" s="129" t="s">
        <v>2352</v>
      </c>
      <c r="N173" s="6"/>
      <c r="O173" s="122" t="s">
        <v>1177</v>
      </c>
      <c r="P173" s="17" t="s">
        <v>1174</v>
      </c>
      <c r="Q173" s="13" t="s">
        <v>2391</v>
      </c>
      <c r="R173" s="50">
        <v>788891573</v>
      </c>
      <c r="S173" s="99" t="s">
        <v>1289</v>
      </c>
    </row>
    <row r="174" spans="1:19" ht="111.5" customHeight="1" x14ac:dyDescent="0.2">
      <c r="A174" s="122" t="s">
        <v>2478</v>
      </c>
      <c r="B174" s="45"/>
      <c r="C174" s="13" t="s">
        <v>485</v>
      </c>
      <c r="D174" s="13" t="s">
        <v>1190</v>
      </c>
      <c r="E174" s="722" t="s">
        <v>2463</v>
      </c>
      <c r="F174" s="38" t="s">
        <v>2486</v>
      </c>
      <c r="G174" s="701" t="s">
        <v>2489</v>
      </c>
      <c r="H174" s="692" t="s">
        <v>2403</v>
      </c>
      <c r="I174" s="702" t="s">
        <v>2487</v>
      </c>
      <c r="J174" s="719"/>
      <c r="K174" s="13" t="s">
        <v>1476</v>
      </c>
      <c r="L174" s="368" t="s">
        <v>2354</v>
      </c>
      <c r="M174" s="26" t="s">
        <v>2351</v>
      </c>
      <c r="N174" s="6"/>
      <c r="O174" s="122" t="s">
        <v>1177</v>
      </c>
      <c r="P174" s="17" t="s">
        <v>1174</v>
      </c>
      <c r="Q174" s="38" t="s">
        <v>2391</v>
      </c>
      <c r="R174" s="50">
        <v>788891573</v>
      </c>
      <c r="S174" s="92" t="s">
        <v>2485</v>
      </c>
    </row>
    <row r="175" spans="1:19" ht="39.5" customHeight="1" x14ac:dyDescent="0.2">
      <c r="A175" s="6"/>
      <c r="B175" s="45"/>
      <c r="C175" s="13" t="s">
        <v>485</v>
      </c>
      <c r="D175" s="13" t="s">
        <v>1191</v>
      </c>
      <c r="E175" s="13"/>
      <c r="F175" s="13" t="s">
        <v>2345</v>
      </c>
      <c r="G175" s="6"/>
      <c r="H175" s="13"/>
      <c r="I175" s="183"/>
      <c r="J175" s="183"/>
      <c r="K175" s="6"/>
      <c r="L175" s="26" t="s">
        <v>49</v>
      </c>
      <c r="M175" s="26" t="s">
        <v>2351</v>
      </c>
      <c r="N175" s="6"/>
      <c r="O175" s="122" t="s">
        <v>1178</v>
      </c>
      <c r="P175" s="17" t="s">
        <v>1174</v>
      </c>
      <c r="Q175" s="38" t="s">
        <v>2492</v>
      </c>
      <c r="R175" s="50">
        <v>788891567</v>
      </c>
      <c r="S175" s="99" t="s">
        <v>1565</v>
      </c>
    </row>
    <row r="176" spans="1:19" ht="136" x14ac:dyDescent="0.2">
      <c r="A176" s="122" t="s">
        <v>2478</v>
      </c>
      <c r="B176" s="45"/>
      <c r="C176" s="13" t="s">
        <v>485</v>
      </c>
      <c r="D176" s="13" t="s">
        <v>1192</v>
      </c>
      <c r="E176" s="722" t="s">
        <v>2464</v>
      </c>
      <c r="F176" s="38" t="s">
        <v>2488</v>
      </c>
      <c r="G176" s="701" t="s">
        <v>2402</v>
      </c>
      <c r="H176" s="692" t="s">
        <v>2404</v>
      </c>
      <c r="I176" s="702" t="s">
        <v>2487</v>
      </c>
      <c r="J176" s="719"/>
      <c r="K176" s="12"/>
      <c r="L176" s="26" t="s">
        <v>2351</v>
      </c>
      <c r="M176" s="26" t="s">
        <v>2351</v>
      </c>
      <c r="N176" s="6"/>
      <c r="O176" s="122" t="s">
        <v>1178</v>
      </c>
      <c r="P176" s="17" t="s">
        <v>1174</v>
      </c>
      <c r="Q176" s="13" t="s">
        <v>2390</v>
      </c>
      <c r="R176" s="50">
        <v>788891567</v>
      </c>
      <c r="S176" s="92" t="s">
        <v>2485</v>
      </c>
    </row>
    <row r="177" spans="1:19" ht="51" x14ac:dyDescent="0.2">
      <c r="A177" s="6"/>
      <c r="B177" s="45"/>
      <c r="C177" s="13" t="s">
        <v>485</v>
      </c>
      <c r="D177" s="13" t="s">
        <v>1193</v>
      </c>
      <c r="E177" s="13" t="s">
        <v>1273</v>
      </c>
      <c r="F177" s="38" t="s">
        <v>2491</v>
      </c>
      <c r="G177" s="6"/>
      <c r="H177" s="6"/>
      <c r="I177" s="12"/>
      <c r="J177" s="12"/>
      <c r="K177" s="13" t="s">
        <v>1474</v>
      </c>
      <c r="L177" s="26" t="s">
        <v>2351</v>
      </c>
      <c r="M177" s="26" t="s">
        <v>2353</v>
      </c>
      <c r="N177" s="6"/>
      <c r="O177" s="122" t="s">
        <v>1178</v>
      </c>
      <c r="P177" s="17" t="s">
        <v>1174</v>
      </c>
      <c r="Q177" s="13" t="s">
        <v>447</v>
      </c>
      <c r="R177" s="50">
        <v>788891586</v>
      </c>
      <c r="S177" s="92" t="s">
        <v>2490</v>
      </c>
    </row>
    <row r="181" spans="1:19" x14ac:dyDescent="0.2">
      <c r="L181" t="s">
        <v>160</v>
      </c>
      <c r="M181">
        <f>COUNTIF($L$3:$M$177,"BG*")</f>
        <v>200</v>
      </c>
    </row>
    <row r="182" spans="1:19" x14ac:dyDescent="0.2">
      <c r="L182" t="s">
        <v>2416</v>
      </c>
      <c r="M182">
        <f>COUNTIF($L$3:$M$177,"BG Sch rimosso")</f>
        <v>55</v>
      </c>
    </row>
  </sheetData>
  <autoFilter ref="A1:S177" xr:uid="{9B364A3C-D8FB-104C-B451-D002B652AA99}"/>
  <phoneticPr fontId="14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9</vt:i4>
      </vt:variant>
    </vt:vector>
  </HeadingPairs>
  <TitlesOfParts>
    <vt:vector size="16" baseType="lpstr">
      <vt:lpstr>Elenco ACP&amp;BM</vt:lpstr>
      <vt:lpstr>MIL02,MIL03 Vecchio</vt:lpstr>
      <vt:lpstr>L1A,B,C Vecchio</vt:lpstr>
      <vt:lpstr>L03 Nuovo</vt:lpstr>
      <vt:lpstr>L1C nuovo</vt:lpstr>
      <vt:lpstr>L1A nuovo</vt:lpstr>
      <vt:lpstr>L1B nuovo</vt:lpstr>
      <vt:lpstr>'Elenco ACP&amp;BM'!Area_stampa</vt:lpstr>
      <vt:lpstr>'MIL02,MIL03 Vecchio'!Area_stampa</vt:lpstr>
      <vt:lpstr>stackL01</vt:lpstr>
      <vt:lpstr>stackL01A</vt:lpstr>
      <vt:lpstr>stackL01B</vt:lpstr>
      <vt:lpstr>stackL01CAge</vt:lpstr>
      <vt:lpstr>stackL02</vt:lpstr>
      <vt:lpstr>stackL03</vt:lpstr>
      <vt:lpstr>StackMil01C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RICCARDO COATES</cp:lastModifiedBy>
  <cp:lastPrinted>2024-10-09T15:17:58Z</cp:lastPrinted>
  <dcterms:created xsi:type="dcterms:W3CDTF">2023-12-13T22:11:03Z</dcterms:created>
  <dcterms:modified xsi:type="dcterms:W3CDTF">2026-02-24T17:08:30Z</dcterms:modified>
</cp:coreProperties>
</file>